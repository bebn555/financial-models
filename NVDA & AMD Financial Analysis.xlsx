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0" documentId="8_{91C8AA2E-78B4-4793-8E69-8A78F7035C5F}" xr6:coauthVersionLast="47" xr6:coauthVersionMax="47" xr10:uidLastSave="{00000000-0000-0000-0000-000000000000}"/>
  <bookViews>
    <workbookView xWindow="0" yWindow="0" windowWidth="16384" windowHeight="8192" tabRatio="500" firstSheet="1" activeTab="6" xr2:uid="{00000000-000D-0000-FFFF-FFFF00000000}"/>
  </bookViews>
  <sheets>
    <sheet name="📋 Cover" sheetId="1" r:id="rId1"/>
    <sheet name="📊 NVDA P&amp;L" sheetId="2" r:id="rId2"/>
    <sheet name="📊 AMD P&amp;L" sheetId="3" r:id="rId3"/>
    <sheet name="💰 Cost Analysis" sheetId="4" r:id="rId4"/>
    <sheet name="📈 DCF Valuation" sheetId="5" r:id="rId5"/>
    <sheet name="⚖️ Comps" sheetId="6" r:id="rId6"/>
    <sheet name="📉 Summary" sheetId="7" r:id="rId7"/>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 i="2" l="1"/>
  <c r="D55" i="5"/>
  <c r="D53" i="5"/>
  <c r="H46" i="5"/>
  <c r="G46" i="5"/>
  <c r="F46" i="5"/>
  <c r="E46" i="5"/>
  <c r="D46" i="5"/>
  <c r="D45" i="5"/>
  <c r="D47" i="5" s="1"/>
  <c r="E44" i="5"/>
  <c r="D27" i="5"/>
  <c r="D25" i="5"/>
  <c r="H18" i="5"/>
  <c r="G18" i="5"/>
  <c r="F18" i="5"/>
  <c r="E18" i="5"/>
  <c r="D18" i="5"/>
  <c r="D17" i="5"/>
  <c r="D19" i="5" s="1"/>
  <c r="E16" i="5"/>
  <c r="H26" i="3"/>
  <c r="G26" i="3"/>
  <c r="F26" i="3"/>
  <c r="E26" i="3"/>
  <c r="H11" i="3"/>
  <c r="G11" i="3"/>
  <c r="F11" i="3"/>
  <c r="E11" i="3"/>
  <c r="D11" i="3"/>
  <c r="H7" i="3"/>
  <c r="G7" i="3"/>
  <c r="F7" i="3"/>
  <c r="E7" i="3"/>
  <c r="D7" i="3"/>
  <c r="H26" i="2"/>
  <c r="G26" i="2"/>
  <c r="F26" i="2"/>
  <c r="E26" i="2"/>
  <c r="H11" i="2"/>
  <c r="G11" i="2"/>
  <c r="F11" i="2"/>
  <c r="E11" i="2"/>
  <c r="D11" i="2"/>
  <c r="H7" i="2"/>
  <c r="G7" i="2"/>
  <c r="F7" i="2"/>
  <c r="E7" i="2"/>
  <c r="D7" i="2"/>
  <c r="D20" i="2" l="1"/>
  <c r="D12" i="2"/>
  <c r="E20" i="2"/>
  <c r="E12" i="2"/>
  <c r="F20" i="2"/>
  <c r="F12" i="2"/>
  <c r="G20" i="2"/>
  <c r="G12" i="2"/>
  <c r="H20" i="2"/>
  <c r="H12" i="2"/>
  <c r="D20" i="3"/>
  <c r="D12" i="3"/>
  <c r="E20" i="3"/>
  <c r="E12" i="3"/>
  <c r="F20" i="3"/>
  <c r="F12" i="3"/>
  <c r="G20" i="3"/>
  <c r="G12" i="3"/>
  <c r="H20" i="3"/>
  <c r="H12" i="3"/>
  <c r="E17" i="5"/>
  <c r="E19" i="5" s="1"/>
  <c r="F16" i="5"/>
  <c r="E45" i="5"/>
  <c r="E47" i="5" s="1"/>
  <c r="F44" i="5"/>
  <c r="F45" i="5" l="1"/>
  <c r="F47" i="5" s="1"/>
  <c r="G44" i="5"/>
  <c r="F17" i="5"/>
  <c r="F19" i="5" s="1"/>
  <c r="G16" i="5"/>
  <c r="H21" i="3"/>
  <c r="H15" i="3"/>
  <c r="H14" i="3"/>
  <c r="H22" i="3" s="1"/>
  <c r="G21" i="3"/>
  <c r="G15" i="3"/>
  <c r="G14" i="3"/>
  <c r="G22" i="3" s="1"/>
  <c r="F21" i="3"/>
  <c r="F15" i="3"/>
  <c r="F14" i="3"/>
  <c r="F22" i="3" s="1"/>
  <c r="E21" i="3"/>
  <c r="E15" i="3"/>
  <c r="E14" i="3"/>
  <c r="E22" i="3" s="1"/>
  <c r="D21" i="3"/>
  <c r="D15" i="3"/>
  <c r="D14" i="3"/>
  <c r="D22" i="3" s="1"/>
  <c r="H21" i="2"/>
  <c r="H14" i="2"/>
  <c r="H22" i="2" s="1"/>
  <c r="G21" i="2"/>
  <c r="G15" i="2"/>
  <c r="G14" i="2"/>
  <c r="G22" i="2" s="1"/>
  <c r="F21" i="2"/>
  <c r="F15" i="2"/>
  <c r="F14" i="2"/>
  <c r="F22" i="2" s="1"/>
  <c r="E21" i="2"/>
  <c r="E15" i="2"/>
  <c r="E14" i="2"/>
  <c r="E22" i="2" s="1"/>
  <c r="D21" i="2"/>
  <c r="D15" i="2"/>
  <c r="D14" i="2"/>
  <c r="D22" i="2" s="1"/>
  <c r="D16" i="2" l="1"/>
  <c r="D17" i="2" s="1"/>
  <c r="E16" i="2"/>
  <c r="E17" i="2" s="1"/>
  <c r="F16" i="2"/>
  <c r="F17" i="2" s="1"/>
  <c r="G16" i="2"/>
  <c r="G17" i="2" s="1"/>
  <c r="H16" i="2"/>
  <c r="H17" i="2" s="1"/>
  <c r="H23" i="2" s="1"/>
  <c r="D16" i="3"/>
  <c r="D17" i="3" s="1"/>
  <c r="E16" i="3"/>
  <c r="E17" i="3" s="1"/>
  <c r="F16" i="3"/>
  <c r="F17" i="3" s="1"/>
  <c r="G16" i="3"/>
  <c r="G17" i="3" s="1"/>
  <c r="H16" i="3"/>
  <c r="H17" i="3" s="1"/>
  <c r="H23" i="3" s="1"/>
  <c r="G17" i="5"/>
  <c r="G19" i="5" s="1"/>
  <c r="H16" i="5"/>
  <c r="H17" i="5" s="1"/>
  <c r="G45" i="5"/>
  <c r="G47" i="5" s="1"/>
  <c r="H44" i="5"/>
  <c r="H45" i="5" s="1"/>
  <c r="D50" i="5" l="1"/>
  <c r="D51" i="5" s="1"/>
  <c r="H47" i="5"/>
  <c r="D49" i="5" s="1"/>
  <c r="D52" i="5" s="1"/>
  <c r="D54" i="5" s="1"/>
  <c r="D56" i="5" s="1"/>
  <c r="D22" i="5"/>
  <c r="D23" i="5" s="1"/>
  <c r="H19" i="5"/>
  <c r="D21" i="5" s="1"/>
  <c r="D24" i="5" s="1"/>
  <c r="D26" i="5" s="1"/>
  <c r="D28" i="5" s="1"/>
  <c r="H27" i="3"/>
  <c r="G23" i="3"/>
  <c r="G27" i="3"/>
  <c r="F23" i="3"/>
  <c r="F27" i="3"/>
  <c r="E23" i="3"/>
  <c r="E27" i="3"/>
  <c r="D23" i="3"/>
  <c r="H27" i="2"/>
  <c r="G23" i="2"/>
  <c r="G27" i="2"/>
  <c r="F23" i="2"/>
  <c r="F27" i="2"/>
  <c r="E23" i="2"/>
  <c r="E27" i="2"/>
  <c r="D23" i="2"/>
</calcChain>
</file>

<file path=xl/sharedStrings.xml><?xml version="1.0" encoding="utf-8"?>
<sst xmlns="http://schemas.openxmlformats.org/spreadsheetml/2006/main" count="406" uniqueCount="251">
  <si>
    <t>NVIDIA vs AMD</t>
  </si>
  <si>
    <t>Semiconductor Sector | Equity Research &amp; DCF Valuation Model</t>
  </si>
  <si>
    <t>Yale University — Financial Markets (Prof. Robert Shiller) | Equity Research Project, February 2026</t>
  </si>
  <si>
    <t>NVIDIA Corporation (NVDA)</t>
  </si>
  <si>
    <t>Advanced Micro Devices (AMD)</t>
  </si>
  <si>
    <t>Sector</t>
  </si>
  <si>
    <t>Semiconductors</t>
  </si>
  <si>
    <t>Exchange</t>
  </si>
  <si>
    <t>NASDAQ</t>
  </si>
  <si>
    <t>FY End</t>
  </si>
  <si>
    <t>January</t>
  </si>
  <si>
    <t>December</t>
  </si>
  <si>
    <t>Currency</t>
  </si>
  <si>
    <t>USD (millions)</t>
  </si>
  <si>
    <t>Data Source</t>
  </si>
  <si>
    <t>10-K, SEC EDGAR</t>
  </si>
  <si>
    <t>Analysis Period</t>
  </si>
  <si>
    <t>FY2022–FY2026E</t>
  </si>
  <si>
    <t>MODEL CONTENTS</t>
  </si>
  <si>
    <t>📋 Cover</t>
  </si>
  <si>
    <t>Model overview, company profiles, and navigation guide</t>
  </si>
  <si>
    <t>📊 NVDA P&amp;L</t>
  </si>
  <si>
    <t>NVIDIA 3-Statement Model: Income Statement, Balance Sheet, Cash Flow</t>
  </si>
  <si>
    <t>📊 AMD P&amp;L</t>
  </si>
  <si>
    <t>AMD 3-Statement Model: Income Statement, Balance Sheet, Cash Flow</t>
  </si>
  <si>
    <t>💰 Cost Analysis</t>
  </si>
  <si>
    <t>Cost structure breakdown &amp; profitability analysis for both companies</t>
  </si>
  <si>
    <t>📈 DCF Valuation</t>
  </si>
  <si>
    <t>Discounted Cash Flow valuation with sensitivity analysis</t>
  </si>
  <si>
    <t>⚖️ Comps</t>
  </si>
  <si>
    <t>Comparable company analysis (EV/EBITDA, P/E, EV/Revenue multiples)</t>
  </si>
  <si>
    <t>📉 Summary</t>
  </si>
  <si>
    <t>Side-by-side investment summary &amp; recommendation</t>
  </si>
  <si>
    <t>⚠  DISCLAIMER: This model has been prepared to demonstrate skills in equity research and financial modeling, drawing on concepts from the Yale University Financial Markets course (Prof. Robert Shiller, Coursera). All data is sourced from company reports.</t>
  </si>
  <si>
    <t>NVIDIA CORPORATION - 3 STATEMENT FINANCIAL MODEL</t>
  </si>
  <si>
    <t>Source: NVIDIA 10-K SEC Filings (FY2022–FY2025A) | FY2026E = Analyst Consensus Estimate</t>
  </si>
  <si>
    <t>INCOME STATEMENT  ($M)</t>
  </si>
  <si>
    <t>FY2022</t>
  </si>
  <si>
    <t>FY2023</t>
  </si>
  <si>
    <t>FY2024</t>
  </si>
  <si>
    <t>FY2025A</t>
  </si>
  <si>
    <t>FY2026E</t>
  </si>
  <si>
    <t>Revenue</t>
  </si>
  <si>
    <t>Cost of Goods Sold</t>
  </si>
  <si>
    <t>Gross Profit</t>
  </si>
  <si>
    <t xml:space="preserve">  R&amp;D Expenses</t>
  </si>
  <si>
    <t xml:space="preserve">  Sales &amp; Marketing</t>
  </si>
  <si>
    <t xml:space="preserve">  G&amp;A Expenses</t>
  </si>
  <si>
    <t>Total OpEx</t>
  </si>
  <si>
    <t>EBIT (Operating Income)</t>
  </si>
  <si>
    <t xml:space="preserve">  Other Inc / (Exp)</t>
  </si>
  <si>
    <t>EBITDA (approx.)</t>
  </si>
  <si>
    <t>Pre-tax Income</t>
  </si>
  <si>
    <t xml:space="preserve">  Income Tax</t>
  </si>
  <si>
    <t>Net Income</t>
  </si>
  <si>
    <t>KEY MARGINS</t>
  </si>
  <si>
    <t>Gross Margin</t>
  </si>
  <si>
    <t>EBIT Margin</t>
  </si>
  <si>
    <t>EBITDA Margin</t>
  </si>
  <si>
    <t>Net Margin</t>
  </si>
  <si>
    <t>YEAR-OVER-YEAR GROWTH</t>
  </si>
  <si>
    <t>Revenue Growth</t>
  </si>
  <si>
    <t>n/a</t>
  </si>
  <si>
    <t>Net Income Growth</t>
  </si>
  <si>
    <t>BALANCE SHEET HIGHLIGHTS  ($M)</t>
  </si>
  <si>
    <t>Item</t>
  </si>
  <si>
    <t>Cash &amp; Equivalents</t>
  </si>
  <si>
    <t>Total Assets</t>
  </si>
  <si>
    <t>Long-Term Debt</t>
  </si>
  <si>
    <t>Total Liabilities</t>
  </si>
  <si>
    <t>Shareholders' Equity</t>
  </si>
  <si>
    <t>CASH FLOW HIGHLIGHTS  ($M)</t>
  </si>
  <si>
    <t>Cash from Operations</t>
  </si>
  <si>
    <t>Capital Expenditures</t>
  </si>
  <si>
    <t>Free Cash Flow</t>
  </si>
  <si>
    <t>Cash from Financing</t>
  </si>
  <si>
    <t>ADVANCED MICRO DEVICES- 3 STATEMENT FINANCIAL MODEL</t>
  </si>
  <si>
    <t>Source: AMD 10-K SEC Filings (FY2022–FY2025A) | FY2026E = Analyst Consensus Estimate</t>
  </si>
  <si>
    <t>COST STRUCTURE &amp; PROFITABILITY ANALYSIS - NVIDIA vs AMD</t>
  </si>
  <si>
    <t>▶ NVIDIA — Cost as % of Revenue</t>
  </si>
  <si>
    <t>Cost Item</t>
  </si>
  <si>
    <t>COGS % Revenue</t>
  </si>
  <si>
    <t>R&amp;D % Revenue</t>
  </si>
  <si>
    <t>S&amp;M % Revenue</t>
  </si>
  <si>
    <t>G&amp;A % Revenue</t>
  </si>
  <si>
    <t>▶ AMD — Cost as % of Revenue</t>
  </si>
  <si>
    <t>▶ HEAD-TO-HEAD PROFITABILITY COMPARISON (FY2025A)</t>
  </si>
  <si>
    <t>Metric</t>
  </si>
  <si>
    <t>NVIDIA</t>
  </si>
  <si>
    <t>AMD</t>
  </si>
  <si>
    <t>Winner</t>
  </si>
  <si>
    <t>Revenue ($M)</t>
  </si>
  <si>
    <t>$130,497</t>
  </si>
  <si>
    <t>$29,047</t>
  </si>
  <si>
    <t>NVDA</t>
  </si>
  <si>
    <t>71.2%</t>
  </si>
  <si>
    <t>52.8%</t>
  </si>
  <si>
    <t>59.5%</t>
  </si>
  <si>
    <t>25.9%</t>
  </si>
  <si>
    <t>R&amp;D Intensity</t>
  </si>
  <si>
    <t>9.9%</t>
  </si>
  <si>
    <t>22.4%</t>
  </si>
  <si>
    <t>FCF ($M)</t>
  </si>
  <si>
    <t>$60,359</t>
  </si>
  <si>
    <t>$2,050</t>
  </si>
  <si>
    <t>Revenue Growth (YoY)</t>
  </si>
  <si>
    <t>~114%</t>
  </si>
  <si>
    <t>~13%</t>
  </si>
  <si>
    <t>DISCOUNTED CASH FLOW (DCF) VALUATION - NVIDIA vs AMD</t>
  </si>
  <si>
    <t>NVIDIA — DCF MODEL</t>
  </si>
  <si>
    <t>KEY ASSUMPTIONS (Adjustable - Blue = Input)</t>
  </si>
  <si>
    <t>WACC</t>
  </si>
  <si>
    <t>Terminal Growth Rate</t>
  </si>
  <si>
    <t>Revenue Growth FY27E</t>
  </si>
  <si>
    <t>Revenue Growth FY28E</t>
  </si>
  <si>
    <t>Revenue Growth FY29E</t>
  </si>
  <si>
    <t>FCF Margin (steady)</t>
  </si>
  <si>
    <t>Shares Outstanding (M)</t>
  </si>
  <si>
    <t>Net Debt ($M)</t>
  </si>
  <si>
    <t>FREE CASH FLOW PROJECTIONS ($M)</t>
  </si>
  <si>
    <t>FY2027E</t>
  </si>
  <si>
    <t>FY2028E</t>
  </si>
  <si>
    <t>FY2029E</t>
  </si>
  <si>
    <t>FY2030E</t>
  </si>
  <si>
    <t>Discount Factor</t>
  </si>
  <si>
    <t>PV of FCF</t>
  </si>
  <si>
    <t>Sum of PV(FCF)</t>
  </si>
  <si>
    <t>Terminal Value (Gordon Growth)</t>
  </si>
  <si>
    <t>PV of Terminal Value</t>
  </si>
  <si>
    <t>Enterprise Value</t>
  </si>
  <si>
    <t>Less: Net Debt</t>
  </si>
  <si>
    <t>Equity Value</t>
  </si>
  <si>
    <t>→ INTRINSIC VALUE PER SHARE</t>
  </si>
  <si>
    <t>AMD — DCF MODEL</t>
  </si>
  <si>
    <t>COMPARABLE COMPANY ANALYSIS (TRADING COMPS) - Semiconductor Sector</t>
  </si>
  <si>
    <t>Market data as of February 2026 | Source: Bloomberg, Yahoo Finance, SEC Filings</t>
  </si>
  <si>
    <t>Company</t>
  </si>
  <si>
    <t>Ticker</t>
  </si>
  <si>
    <t>Mkt Cap ($B)</t>
  </si>
  <si>
    <t>EV ($B)</t>
  </si>
  <si>
    <t>Revenue ($B)</t>
  </si>
  <si>
    <t>EV/Revenue</t>
  </si>
  <si>
    <t>EV/EBITDA</t>
  </si>
  <si>
    <t>P/E</t>
  </si>
  <si>
    <t>2,850</t>
  </si>
  <si>
    <t>2,820</t>
  </si>
  <si>
    <t>130.5</t>
  </si>
  <si>
    <t>74.6%</t>
  </si>
  <si>
    <t>195</t>
  </si>
  <si>
    <t>193</t>
  </si>
  <si>
    <t>29.0</t>
  </si>
  <si>
    <t>52.9%</t>
  </si>
  <si>
    <t>Intel</t>
  </si>
  <si>
    <t>INTC</t>
  </si>
  <si>
    <t>90</t>
  </si>
  <si>
    <t>115</t>
  </si>
  <si>
    <t>53.1</t>
  </si>
  <si>
    <t>41.2%</t>
  </si>
  <si>
    <t>Qualcomm</t>
  </si>
  <si>
    <t>QCOM</t>
  </si>
  <si>
    <t>155</t>
  </si>
  <si>
    <t>160</t>
  </si>
  <si>
    <t>39.4</t>
  </si>
  <si>
    <t>56.2%</t>
  </si>
  <si>
    <t>Broadcom</t>
  </si>
  <si>
    <t>AVGO</t>
  </si>
  <si>
    <t>750</t>
  </si>
  <si>
    <t>820</t>
  </si>
  <si>
    <t>51.6</t>
  </si>
  <si>
    <t>67.8%</t>
  </si>
  <si>
    <t>Marvell Tech</t>
  </si>
  <si>
    <t>MRVL</t>
  </si>
  <si>
    <t>55</t>
  </si>
  <si>
    <t>60</t>
  </si>
  <si>
    <t>6.0</t>
  </si>
  <si>
    <t>59.3%</t>
  </si>
  <si>
    <t>Micron</t>
  </si>
  <si>
    <t>MU</t>
  </si>
  <si>
    <t>105</t>
  </si>
  <si>
    <t>25.1</t>
  </si>
  <si>
    <t>38.9%</t>
  </si>
  <si>
    <t>PEER MEDIAN &amp; MEAN</t>
  </si>
  <si>
    <t>Peer Median (ex-NVDA/AMD)</t>
  </si>
  <si>
    <t>IMPLIED VALUATION FROM COMPS</t>
  </si>
  <si>
    <t>NVIDIA Implied Price Range</t>
  </si>
  <si>
    <t>AMD Implied Price Range</t>
  </si>
  <si>
    <t>Method</t>
  </si>
  <si>
    <t>Multiple Used</t>
  </si>
  <si>
    <t>Implied EV ($B)</t>
  </si>
  <si>
    <t>Implied Price/Share</t>
  </si>
  <si>
    <t>21.6x</t>
  </si>
  <si>
    <t>$2,819B</t>
  </si>
  <si>
    <t>~$115</t>
  </si>
  <si>
    <t>6.7x</t>
  </si>
  <si>
    <t>$194B</t>
  </si>
  <si>
    <t>~$120</t>
  </si>
  <si>
    <t>45.2x</t>
  </si>
  <si>
    <t>$2,694B</t>
  </si>
  <si>
    <t>~$110</t>
  </si>
  <si>
    <t>38.4x</t>
  </si>
  <si>
    <t>$167B</t>
  </si>
  <si>
    <t>~$103</t>
  </si>
  <si>
    <t>52.3x</t>
  </si>
  <si>
    <t>—</t>
  </si>
  <si>
    <t>48.7x</t>
  </si>
  <si>
    <t>~$98</t>
  </si>
  <si>
    <t>INVESTMENT SUMMARY &amp; RECOMMENDATION — NVIDIA vs AMD</t>
  </si>
  <si>
    <t>NVIDIA (NVDA)</t>
  </si>
  <si>
    <t>AMD (AMD)</t>
  </si>
  <si>
    <t>📈 Revenue (FY2025A):  $130.5B</t>
  </si>
  <si>
    <t>📈 Revenue (FY2025A):  $29.0B</t>
  </si>
  <si>
    <t>💰 Net Income:  $72.9B</t>
  </si>
  <si>
    <t>💰 Net Income:  $~1.8B</t>
  </si>
  <si>
    <t>📊 Gross Margin:  74.6%</t>
  </si>
  <si>
    <t>📊 Gross Margin:  52.9%</t>
  </si>
  <si>
    <t>🔄 FCF:  $60.4B</t>
  </si>
  <si>
    <t>🔄 FCF:  $2.1B</t>
  </si>
  <si>
    <t>📉 EBIT Margin:  62.1%</t>
  </si>
  <si>
    <t>📉 EBIT Margin:  ~8.5%</t>
  </si>
  <si>
    <t>⚡ Revenue Growth:  +114% YoY</t>
  </si>
  <si>
    <t>⚡ Revenue Growth:  +13% YoY</t>
  </si>
  <si>
    <t>💎 Market Cap:  ~$2.85T</t>
  </si>
  <si>
    <t>💎 Market Cap:  ~$195B</t>
  </si>
  <si>
    <t>📌 DCF Target:  Model Output</t>
  </si>
  <si>
    <t>🏆 AI Dominance:  H100/B200 GPUs</t>
  </si>
  <si>
    <t>🏆 AI Play:  MI300X data center</t>
  </si>
  <si>
    <t>⚠️ Key Risk:  Valuation premium</t>
  </si>
  <si>
    <t>⚠️ Key Risk:  NVDA market share gap</t>
  </si>
  <si>
    <t>BCG STRATEGY FRAMEWORK ASSESSMENT</t>
  </si>
  <si>
    <t>▸ BCG Matrix Position</t>
  </si>
  <si>
    <t>STAR — High growth, high share</t>
  </si>
  <si>
    <t>QUESTION MARK — High growth, low share</t>
  </si>
  <si>
    <t>▸ Competitive Moat</t>
  </si>
  <si>
    <t>Dominant (CUDA ecosystem, supply)</t>
  </si>
  <si>
    <t>Building (ROCm, MI300X ramp)</t>
  </si>
  <si>
    <t>▸ Revenue Quality</t>
  </si>
  <si>
    <t>Extremely high — AI infrastructure</t>
  </si>
  <si>
    <t>Diversified (Data Center + Gaming)</t>
  </si>
  <si>
    <t>▸ Margin Trajectory</t>
  </si>
  <si>
    <t>Expanding — 74%+ gross margin</t>
  </si>
  <si>
    <t>Improving — targeting 55%+ long-term</t>
  </si>
  <si>
    <t>▸ Risk/Reward</t>
  </si>
  <si>
    <t>Low risk, moderate upside</t>
  </si>
  <si>
    <t>Higher risk, higher potential upside</t>
  </si>
  <si>
    <t>▸ Analyst Consensus</t>
  </si>
  <si>
    <t>Buy — Strong AI tailwinds</t>
  </si>
  <si>
    <t>Buy — Undervalued vs peers</t>
  </si>
  <si>
    <t>▸ Portfolio Role</t>
  </si>
  <si>
    <t>Core holding — quality compounder</t>
  </si>
  <si>
    <t>Growth bet — AI catch-up play</t>
  </si>
  <si>
    <t>CONCLUSION: NVIDIA is the clear AI infrastructure leader with unmatched margins and FCF generation. AMD represents a compelling value alternative with improving fundamentals and AI data center traction. Both names offer long-term upside in the semiconductor AI supercycle.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</si>
</sst>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00\x"/>
    <numFmt numFmtId="167" formatCode="\$#,##0.00"/>
    <numFmt numFmtId="168" formatCode="0.0\x"/>
  </numFmts>
  <fonts count="31">
    <font>
      <sz val="11"/>
      <color theme="1"/>
      <name val="Calibri"/>
      <family val="2"/>
      <charset val="1"/>
    </font>
    <font>
      <b/>
      <sz val="28"/>
      <color rgb="FFFFFFFF"/>
      <name val="Arial"/>
      <charset val="1"/>
    </font>
    <font>
      <b/>
      <sz val="13"/>
      <color rgb="FFFFFFFF"/>
      <name val="Arial"/>
      <charset val="1"/>
    </font>
    <font>
      <b/>
      <sz val="10"/>
      <color rgb="FF333333"/>
      <name val="Arial"/>
      <charset val="1"/>
    </font>
    <font>
      <sz val="10"/>
      <color rgb="FF000000"/>
      <name val="Arial"/>
      <charset val="1"/>
    </font>
    <font>
      <b/>
      <sz val="11"/>
      <color rgb="FFFFFFFF"/>
      <name val="Arial"/>
      <charset val="1"/>
    </font>
    <font>
      <b/>
      <sz val="10"/>
      <color rgb="FF1A1A2E"/>
      <name val="Arial"/>
      <charset val="1"/>
    </font>
    <font>
      <sz val="10"/>
      <color rgb="FF595959"/>
      <name val="Arial"/>
      <charset val="1"/>
    </font>
    <font>
      <i/>
      <sz val="9"/>
      <color rgb="FF7D6608"/>
      <name val="Arial"/>
      <charset val="1"/>
    </font>
    <font>
      <b/>
      <sz val="14"/>
      <color rgb="FFFFFFFF"/>
      <name val="Arial"/>
      <charset val="1"/>
    </font>
    <font>
      <sz val="9"/>
      <color rgb="FFAAAAAA"/>
      <name val="Arial"/>
      <charset val="1"/>
    </font>
    <font>
      <b/>
      <sz val="10"/>
      <color rgb="FFFFFFFF"/>
      <name val="Arial"/>
      <charset val="1"/>
    </font>
    <font>
      <b/>
      <sz val="10"/>
      <color rgb="FF000000"/>
      <name val="Arial"/>
      <charset val="1"/>
    </font>
    <font>
      <sz val="10"/>
      <color rgb="FF0000FF"/>
      <name val="Arial"/>
      <charset val="1"/>
    </font>
    <font>
      <b/>
      <sz val="9"/>
      <color rgb="FFFFFFFF"/>
      <name val="Arial"/>
      <charset val="1"/>
    </font>
    <font>
      <i/>
      <sz val="10"/>
      <color rgb="FF595959"/>
      <name val="Arial"/>
      <charset val="1"/>
    </font>
    <font>
      <sz val="10"/>
      <color rgb="FF006400"/>
      <name val="Arial"/>
      <charset val="1"/>
    </font>
    <font>
      <sz val="10"/>
      <color rgb="FF8B0000"/>
      <name val="Arial"/>
      <charset val="1"/>
    </font>
    <font>
      <b/>
      <sz val="10"/>
      <color rgb="FF006400"/>
      <name val="Arial"/>
      <charset val="1"/>
    </font>
    <font>
      <b/>
      <sz val="10"/>
      <color rgb="FF8B0000"/>
      <name val="Arial"/>
      <charset val="1"/>
    </font>
    <font>
      <sz val="10"/>
      <color rgb="FF1B5E20"/>
      <name val="Arial"/>
      <charset val="1"/>
    </font>
    <font>
      <b/>
      <sz val="12"/>
      <color rgb="FFFFFFFF"/>
      <name val="Arial"/>
      <charset val="1"/>
    </font>
    <font>
      <b/>
      <sz val="10"/>
      <color rgb="FF595959"/>
      <name val="Arial"/>
      <charset val="1"/>
    </font>
    <font>
      <sz val="9"/>
      <color rgb="FF1B5E20"/>
      <name val="Arial"/>
      <charset val="1"/>
    </font>
    <font>
      <sz val="9"/>
      <color rgb="FF8B0000"/>
      <name val="Arial"/>
      <charset val="1"/>
    </font>
    <font>
      <sz val="9"/>
      <color rgb="FFCCCCCC"/>
      <name val="Arial"/>
      <charset val="1"/>
    </font>
    <font>
      <sz val="14"/>
      <color rgb="FFAAAAAA"/>
      <name val="Arial"/>
    </font>
    <font>
      <i/>
      <sz val="11"/>
      <color rgb="FF888888"/>
      <name val="Arial"/>
    </font>
    <font>
      <b/>
      <sz val="10"/>
      <color theme="1"/>
      <name val="Arial"/>
      <charset val="1"/>
    </font>
    <font>
      <sz val="10"/>
      <color theme="1"/>
      <name val="Arial"/>
      <charset val="1"/>
    </font>
    <font>
      <i/>
      <sz val="10"/>
      <color theme="1"/>
      <name val="Arial"/>
      <charset val="1"/>
    </font>
  </fonts>
  <fills count="28">
    <fill>
      <patternFill patternType="none"/>
    </fill>
    <fill>
      <patternFill patternType="gray125"/>
    </fill>
    <fill>
      <patternFill patternType="solid">
        <fgColor rgb="FF1A1A2E"/>
        <bgColor rgb="FF16213E"/>
      </patternFill>
    </fill>
    <fill>
      <patternFill patternType="solid">
        <fgColor rgb="FF16213E"/>
        <bgColor rgb="FF1A1A2E"/>
      </patternFill>
    </fill>
    <fill>
      <patternFill patternType="solid">
        <fgColor rgb="FF76B900"/>
        <bgColor rgb="FF339966"/>
      </patternFill>
    </fill>
    <fill>
      <patternFill patternType="solid">
        <fgColor rgb="FFED1C24"/>
        <bgColor rgb="FF993300"/>
      </patternFill>
    </fill>
    <fill>
      <patternFill patternType="solid">
        <fgColor rgb="FFFFFFFF"/>
        <bgColor rgb="FFF5F5F5"/>
      </patternFill>
    </fill>
    <fill>
      <patternFill patternType="solid">
        <fgColor rgb="FFF5F5F5"/>
        <bgColor rgb="FFF0F7E6"/>
      </patternFill>
    </fill>
    <fill>
      <patternFill patternType="solid">
        <fgColor rgb="FFFFF9C4"/>
        <bgColor rgb="FFFFF2CC"/>
      </patternFill>
    </fill>
    <fill>
      <patternFill patternType="solid">
        <fgColor rgb="FF1A3300"/>
        <bgColor rgb="FF333333"/>
      </patternFill>
    </fill>
    <fill>
      <patternFill patternType="solid">
        <fgColor rgb="FFDCE6F1"/>
        <bgColor rgb="FFE2EFDA"/>
      </patternFill>
    </fill>
    <fill>
      <patternFill patternType="solid">
        <fgColor rgb="FFE8F5E9"/>
        <bgColor rgb="FFF0F7E6"/>
      </patternFill>
    </fill>
    <fill>
      <patternFill patternType="solid">
        <fgColor rgb="FF0F3460"/>
        <bgColor rgb="FF16213E"/>
      </patternFill>
    </fill>
    <fill>
      <patternFill patternType="solid">
        <fgColor rgb="FFE2EFDA"/>
        <bgColor rgb="FFE8F5E9"/>
      </patternFill>
    </fill>
    <fill>
      <patternFill patternType="solid">
        <fgColor rgb="FF3D0000"/>
        <bgColor rgb="FF1A1A2E"/>
      </patternFill>
    </fill>
    <fill>
      <patternFill patternType="solid">
        <fgColor rgb="FFFFEBEE"/>
        <bgColor rgb="FFFFF0F0"/>
      </patternFill>
    </fill>
    <fill>
      <patternFill patternType="solid">
        <fgColor rgb="FFFFE4E4"/>
        <bgColor rgb="FFFFEBEE"/>
      </patternFill>
    </fill>
    <fill>
      <patternFill patternType="solid">
        <fgColor rgb="FFFFF2CC"/>
        <bgColor rgb="FFFFF9C4"/>
      </patternFill>
    </fill>
    <fill>
      <patternFill patternType="solid">
        <fgColor rgb="FFC8E6C9"/>
        <bgColor rgb="FFE2EFDA"/>
      </patternFill>
    </fill>
    <fill>
      <patternFill patternType="solid">
        <fgColor rgb="FFA5D6A7"/>
        <bgColor rgb="FFBFBFBF"/>
      </patternFill>
    </fill>
    <fill>
      <patternFill patternType="solid">
        <fgColor rgb="FFFFCDD2"/>
        <bgColor rgb="FFFFE4E4"/>
      </patternFill>
    </fill>
    <fill>
      <patternFill patternType="solid">
        <fgColor rgb="FFEF9A9A"/>
        <bgColor rgb="FFAAAAAA"/>
      </patternFill>
    </fill>
    <fill>
      <patternFill patternType="solid">
        <fgColor rgb="FF16213E"/>
      </patternFill>
    </fill>
    <fill>
      <patternFill patternType="solid">
        <fgColor theme="0"/>
        <bgColor indexed="64"/>
      </patternFill>
    </fill>
    <fill>
      <patternFill patternType="solid">
        <fgColor rgb="FFE8F5E9"/>
        <bgColor indexed="64"/>
      </patternFill>
    </fill>
    <fill>
      <patternFill patternType="solid">
        <fgColor rgb="FFFFEBEE"/>
        <bgColor indexed="64"/>
      </patternFill>
    </fill>
    <fill>
      <patternFill patternType="solid">
        <fgColor theme="5" tint="0.39997558519241921"/>
        <bgColor indexed="64"/>
      </patternFill>
    </fill>
    <fill>
      <patternFill patternType="solid">
        <fgColor theme="6" tint="0.59999389629810485"/>
        <bgColor indexed="64"/>
      </patternFill>
    </fill>
  </fills>
  <borders count="9">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diagonal/>
    </border>
    <border>
      <left/>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diagonal/>
    </border>
    <border>
      <left style="thin">
        <color rgb="FF000000"/>
      </left>
      <right/>
      <top/>
      <bottom style="thin">
        <color rgb="FF000000"/>
      </bottom>
      <diagonal/>
    </border>
  </borders>
  <cellStyleXfs count="1">
    <xf numFmtId="0" fontId="0" fillId="0" borderId="0"/>
  </cellStyleXfs>
  <cellXfs count="139">
    <xf numFmtId="0" fontId="0" fillId="0" borderId="0" xfId="0" applyAlignment="1"/>
    <xf numFmtId="0" fontId="0" fillId="0" borderId="0" xfId="0" applyAlignment="1"/>
    <xf numFmtId="0" fontId="4" fillId="6" borderId="2" xfId="0" applyFont="1" applyFill="1" applyBorder="1" applyAlignment="1">
      <alignment horizontal="left" vertical="center"/>
    </xf>
    <xf numFmtId="0" fontId="6" fillId="7" borderId="2" xfId="0" applyFont="1" applyFill="1" applyBorder="1" applyAlignment="1">
      <alignment horizontal="left" vertical="center"/>
    </xf>
    <xf numFmtId="0" fontId="6" fillId="6" borderId="2" xfId="0" applyFont="1" applyFill="1" applyBorder="1" applyAlignment="1">
      <alignment horizontal="left" vertical="center"/>
    </xf>
    <xf numFmtId="0" fontId="11" fillId="2" borderId="2" xfId="0" applyFont="1" applyFill="1" applyBorder="1" applyAlignment="1">
      <alignment horizontal="left" vertical="center"/>
    </xf>
    <xf numFmtId="0" fontId="11" fillId="2" borderId="2" xfId="0" applyFont="1" applyFill="1" applyBorder="1" applyAlignment="1">
      <alignment horizontal="center" vertical="center"/>
    </xf>
    <xf numFmtId="0" fontId="11" fillId="4" borderId="2" xfId="0" applyFont="1" applyFill="1" applyBorder="1" applyAlignment="1">
      <alignment horizontal="center" vertical="center"/>
    </xf>
    <xf numFmtId="0" fontId="12" fillId="6" borderId="2" xfId="0" applyFont="1" applyFill="1" applyBorder="1" applyAlignment="1">
      <alignment horizontal="left" vertical="center"/>
    </xf>
    <xf numFmtId="164" fontId="12" fillId="6" borderId="2" xfId="0" applyNumberFormat="1" applyFont="1" applyFill="1" applyBorder="1" applyAlignment="1">
      <alignment horizontal="right" vertical="center"/>
    </xf>
    <xf numFmtId="164" fontId="4" fillId="6" borderId="2" xfId="0" applyNumberFormat="1" applyFont="1" applyFill="1" applyBorder="1" applyAlignment="1">
      <alignment horizontal="right" vertical="center"/>
    </xf>
    <xf numFmtId="0" fontId="12" fillId="11" borderId="2" xfId="0" applyFont="1" applyFill="1" applyBorder="1" applyAlignment="1">
      <alignment horizontal="left" vertical="center"/>
    </xf>
    <xf numFmtId="164" fontId="12" fillId="11" borderId="2" xfId="0" applyNumberFormat="1" applyFont="1" applyFill="1" applyBorder="1" applyAlignment="1">
      <alignment horizontal="right" vertical="center"/>
    </xf>
    <xf numFmtId="0" fontId="4" fillId="11" borderId="2" xfId="0" applyFont="1" applyFill="1" applyBorder="1" applyAlignment="1">
      <alignment horizontal="left" vertical="center"/>
    </xf>
    <xf numFmtId="164" fontId="4" fillId="11" borderId="2" xfId="0" applyNumberFormat="1" applyFont="1" applyFill="1" applyBorder="1" applyAlignment="1">
      <alignment horizontal="right" vertical="center"/>
    </xf>
    <xf numFmtId="0" fontId="15" fillId="0" borderId="2" xfId="0" applyFont="1" applyBorder="1" applyAlignment="1">
      <alignment horizontal="left" vertical="center"/>
    </xf>
    <xf numFmtId="165" fontId="16" fillId="13" borderId="2" xfId="0" applyNumberFormat="1" applyFont="1" applyFill="1" applyBorder="1" applyAlignment="1">
      <alignment horizontal="right" vertical="center"/>
    </xf>
    <xf numFmtId="0" fontId="11" fillId="3" borderId="2" xfId="0" applyFont="1" applyFill="1" applyBorder="1" applyAlignment="1">
      <alignment horizontal="center" vertical="center" wrapText="1"/>
    </xf>
    <xf numFmtId="0" fontId="4" fillId="0" borderId="2" xfId="0" applyFont="1" applyBorder="1" applyAlignment="1">
      <alignment horizontal="left" vertical="center"/>
    </xf>
    <xf numFmtId="164" fontId="4" fillId="0" borderId="2" xfId="0" applyNumberFormat="1" applyFont="1" applyBorder="1" applyAlignment="1">
      <alignment horizontal="right" vertical="center"/>
    </xf>
    <xf numFmtId="0" fontId="12" fillId="0" borderId="2" xfId="0" applyFont="1" applyBorder="1" applyAlignment="1">
      <alignment horizontal="left" vertical="center"/>
    </xf>
    <xf numFmtId="164" fontId="12" fillId="0" borderId="2" xfId="0" applyNumberFormat="1" applyFont="1" applyBorder="1" applyAlignment="1">
      <alignment horizontal="right" vertical="center"/>
    </xf>
    <xf numFmtId="0" fontId="11" fillId="5" borderId="2" xfId="0" applyFont="1" applyFill="1" applyBorder="1" applyAlignment="1">
      <alignment horizontal="center" vertical="center"/>
    </xf>
    <xf numFmtId="0" fontId="12" fillId="15" borderId="2" xfId="0" applyFont="1" applyFill="1" applyBorder="1" applyAlignment="1">
      <alignment horizontal="left" vertical="center"/>
    </xf>
    <xf numFmtId="164" fontId="12" fillId="15" borderId="2" xfId="0" applyNumberFormat="1" applyFont="1" applyFill="1" applyBorder="1" applyAlignment="1">
      <alignment horizontal="right" vertical="center"/>
    </xf>
    <xf numFmtId="0" fontId="4" fillId="15" borderId="2" xfId="0" applyFont="1" applyFill="1" applyBorder="1" applyAlignment="1">
      <alignment horizontal="left" vertical="center"/>
    </xf>
    <xf numFmtId="164" fontId="4" fillId="15" borderId="2" xfId="0" applyNumberFormat="1" applyFont="1" applyFill="1" applyBorder="1" applyAlignment="1">
      <alignment horizontal="right" vertical="center"/>
    </xf>
    <xf numFmtId="165" fontId="17" fillId="16" borderId="2" xfId="0" applyNumberFormat="1" applyFont="1" applyFill="1" applyBorder="1" applyAlignment="1">
      <alignment horizontal="right" vertical="center"/>
    </xf>
    <xf numFmtId="0" fontId="11" fillId="3" borderId="2" xfId="0" applyFont="1" applyFill="1" applyBorder="1" applyAlignment="1">
      <alignment horizontal="left" vertical="center"/>
    </xf>
    <xf numFmtId="0" fontId="11" fillId="3" borderId="2" xfId="0" applyFont="1" applyFill="1" applyBorder="1" applyAlignment="1">
      <alignment horizontal="center"/>
    </xf>
    <xf numFmtId="0" fontId="11" fillId="4" borderId="2" xfId="0" applyFont="1" applyFill="1" applyBorder="1" applyAlignment="1">
      <alignment horizontal="center"/>
    </xf>
    <xf numFmtId="165" fontId="16" fillId="6" borderId="2" xfId="0" applyNumberFormat="1" applyFont="1" applyFill="1" applyBorder="1" applyAlignment="1">
      <alignment horizontal="right" vertical="center"/>
    </xf>
    <xf numFmtId="165" fontId="18" fillId="11" borderId="2" xfId="0" applyNumberFormat="1" applyFont="1" applyFill="1" applyBorder="1" applyAlignment="1">
      <alignment horizontal="right" vertical="center"/>
    </xf>
    <xf numFmtId="0" fontId="11" fillId="5" borderId="2" xfId="0" applyFont="1" applyFill="1" applyBorder="1" applyAlignment="1">
      <alignment horizontal="center"/>
    </xf>
    <xf numFmtId="165" fontId="17" fillId="6" borderId="2" xfId="0" applyNumberFormat="1" applyFont="1" applyFill="1" applyBorder="1" applyAlignment="1">
      <alignment horizontal="right" vertical="center"/>
    </xf>
    <xf numFmtId="165" fontId="19" fillId="15" borderId="2" xfId="0" applyNumberFormat="1" applyFont="1" applyFill="1" applyBorder="1" applyAlignment="1">
      <alignment horizontal="right" vertical="center"/>
    </xf>
    <xf numFmtId="0" fontId="4" fillId="7" borderId="2" xfId="0" applyFont="1" applyFill="1" applyBorder="1" applyAlignment="1">
      <alignment horizontal="left" vertical="center"/>
    </xf>
    <xf numFmtId="0" fontId="20" fillId="11" borderId="2" xfId="0" applyFont="1" applyFill="1" applyBorder="1" applyAlignment="1">
      <alignment horizontal="center"/>
    </xf>
    <xf numFmtId="0" fontId="17" fillId="15" borderId="2" xfId="0" applyFont="1" applyFill="1" applyBorder="1" applyAlignment="1">
      <alignment horizontal="center"/>
    </xf>
    <xf numFmtId="0" fontId="7" fillId="0" borderId="2" xfId="0" applyFont="1" applyBorder="1" applyAlignment="1">
      <alignment horizontal="left" vertical="center"/>
    </xf>
    <xf numFmtId="165" fontId="13" fillId="17" borderId="2" xfId="0" applyNumberFormat="1" applyFont="1" applyFill="1" applyBorder="1" applyAlignment="1">
      <alignment horizontal="right"/>
    </xf>
    <xf numFmtId="164" fontId="13" fillId="17" borderId="2" xfId="0" applyNumberFormat="1" applyFont="1" applyFill="1" applyBorder="1" applyAlignment="1">
      <alignment horizontal="right"/>
    </xf>
    <xf numFmtId="166" fontId="4" fillId="7" borderId="2" xfId="0" applyNumberFormat="1" applyFont="1" applyFill="1" applyBorder="1" applyAlignment="1">
      <alignment horizontal="right" vertical="center"/>
    </xf>
    <xf numFmtId="0" fontId="4" fillId="13" borderId="2" xfId="0" applyFont="1" applyFill="1" applyBorder="1" applyAlignment="1">
      <alignment horizontal="left" vertical="center"/>
    </xf>
    <xf numFmtId="164" fontId="16" fillId="13" borderId="2" xfId="0" applyNumberFormat="1" applyFont="1" applyFill="1" applyBorder="1" applyAlignment="1">
      <alignment horizontal="right" vertical="center"/>
    </xf>
    <xf numFmtId="164" fontId="4" fillId="7" borderId="2" xfId="0" applyNumberFormat="1" applyFont="1" applyFill="1" applyBorder="1" applyAlignment="1">
      <alignment horizontal="right" vertical="center"/>
    </xf>
    <xf numFmtId="164" fontId="16" fillId="11" borderId="2" xfId="0" applyNumberFormat="1" applyFont="1" applyFill="1" applyBorder="1" applyAlignment="1">
      <alignment horizontal="right" vertical="center"/>
    </xf>
    <xf numFmtId="0" fontId="12" fillId="18" borderId="2" xfId="0" applyFont="1" applyFill="1" applyBorder="1" applyAlignment="1">
      <alignment horizontal="left" vertical="center"/>
    </xf>
    <xf numFmtId="164" fontId="12" fillId="18" borderId="2" xfId="0" applyNumberFormat="1" applyFont="1" applyFill="1" applyBorder="1" applyAlignment="1">
      <alignment horizontal="right" vertical="center"/>
    </xf>
    <xf numFmtId="0" fontId="12" fillId="19" borderId="2" xfId="0" applyFont="1" applyFill="1" applyBorder="1" applyAlignment="1">
      <alignment horizontal="left" vertical="center"/>
    </xf>
    <xf numFmtId="164" fontId="12" fillId="19" borderId="2" xfId="0" applyNumberFormat="1" applyFont="1" applyFill="1" applyBorder="1" applyAlignment="1">
      <alignment horizontal="right" vertical="center"/>
    </xf>
    <xf numFmtId="0" fontId="11" fillId="4" borderId="2" xfId="0" applyFont="1" applyFill="1" applyBorder="1" applyAlignment="1">
      <alignment horizontal="left" vertical="center"/>
    </xf>
    <xf numFmtId="167" fontId="11" fillId="4" borderId="2" xfId="0" applyNumberFormat="1" applyFont="1" applyFill="1" applyBorder="1" applyAlignment="1">
      <alignment horizontal="right" vertical="center"/>
    </xf>
    <xf numFmtId="0" fontId="4" fillId="16" borderId="2" xfId="0" applyFont="1" applyFill="1" applyBorder="1" applyAlignment="1">
      <alignment horizontal="left" vertical="center"/>
    </xf>
    <xf numFmtId="164" fontId="17" fillId="16" borderId="2" xfId="0" applyNumberFormat="1" applyFont="1" applyFill="1" applyBorder="1" applyAlignment="1">
      <alignment horizontal="right" vertical="center"/>
    </xf>
    <xf numFmtId="164" fontId="17" fillId="15" borderId="2" xfId="0" applyNumberFormat="1" applyFont="1" applyFill="1" applyBorder="1" applyAlignment="1">
      <alignment horizontal="right" vertical="center"/>
    </xf>
    <xf numFmtId="0" fontId="12" fillId="20" borderId="2" xfId="0" applyFont="1" applyFill="1" applyBorder="1" applyAlignment="1">
      <alignment horizontal="left" vertical="center"/>
    </xf>
    <xf numFmtId="164" fontId="12" fillId="20" borderId="2" xfId="0" applyNumberFormat="1" applyFont="1" applyFill="1" applyBorder="1" applyAlignment="1">
      <alignment horizontal="right" vertical="center"/>
    </xf>
    <xf numFmtId="0" fontId="12" fillId="21" borderId="2" xfId="0" applyFont="1" applyFill="1" applyBorder="1" applyAlignment="1">
      <alignment horizontal="left" vertical="center"/>
    </xf>
    <xf numFmtId="164" fontId="12" fillId="21" borderId="2" xfId="0" applyNumberFormat="1" applyFont="1" applyFill="1" applyBorder="1" applyAlignment="1">
      <alignment horizontal="right" vertical="center"/>
    </xf>
    <xf numFmtId="0" fontId="11" fillId="5" borderId="2" xfId="0" applyFont="1" applyFill="1" applyBorder="1" applyAlignment="1">
      <alignment horizontal="left" vertical="center"/>
    </xf>
    <xf numFmtId="167" fontId="11" fillId="5" borderId="2" xfId="0" applyNumberFormat="1" applyFont="1" applyFill="1" applyBorder="1" applyAlignment="1">
      <alignment horizontal="right" vertical="center"/>
    </xf>
    <xf numFmtId="0" fontId="14" fillId="2" borderId="2" xfId="0" applyFont="1" applyFill="1" applyBorder="1" applyAlignment="1">
      <alignment horizontal="center" vertical="center" wrapText="1"/>
    </xf>
    <xf numFmtId="0" fontId="12" fillId="11" borderId="2" xfId="0" applyFont="1" applyFill="1" applyBorder="1" applyAlignment="1">
      <alignment horizontal="center" vertical="center"/>
    </xf>
    <xf numFmtId="168" fontId="12" fillId="11" borderId="2" xfId="0" applyNumberFormat="1" applyFont="1" applyFill="1" applyBorder="1" applyAlignment="1">
      <alignment horizontal="center" vertical="center"/>
    </xf>
    <xf numFmtId="0" fontId="12" fillId="15" borderId="2" xfId="0" applyFont="1" applyFill="1" applyBorder="1" applyAlignment="1">
      <alignment horizontal="center" vertical="center"/>
    </xf>
    <xf numFmtId="168" fontId="12" fillId="15" borderId="2" xfId="0" applyNumberFormat="1" applyFont="1" applyFill="1" applyBorder="1" applyAlignment="1">
      <alignment horizontal="center" vertical="center"/>
    </xf>
    <xf numFmtId="0" fontId="4" fillId="7" borderId="2" xfId="0" applyFont="1" applyFill="1" applyBorder="1" applyAlignment="1">
      <alignment horizontal="center" vertical="center"/>
    </xf>
    <xf numFmtId="168" fontId="4" fillId="7" borderId="2" xfId="0" applyNumberFormat="1" applyFont="1" applyFill="1" applyBorder="1" applyAlignment="1">
      <alignment horizontal="center" vertical="center"/>
    </xf>
    <xf numFmtId="0" fontId="4" fillId="6" borderId="2" xfId="0" applyFont="1" applyFill="1" applyBorder="1" applyAlignment="1">
      <alignment horizontal="center" vertical="center"/>
    </xf>
    <xf numFmtId="168" fontId="4" fillId="6" borderId="2" xfId="0" applyNumberFormat="1" applyFont="1" applyFill="1" applyBorder="1" applyAlignment="1">
      <alignment horizontal="center" vertical="center"/>
    </xf>
    <xf numFmtId="0" fontId="12" fillId="7" borderId="2" xfId="0" applyFont="1" applyFill="1" applyBorder="1" applyAlignment="1">
      <alignment horizontal="left" vertical="center"/>
    </xf>
    <xf numFmtId="168" fontId="0" fillId="0" borderId="2" xfId="0" applyNumberFormat="1" applyBorder="1" applyAlignment="1"/>
    <xf numFmtId="0" fontId="0" fillId="7" borderId="2" xfId="0" applyFill="1" applyBorder="1" applyAlignment="1">
      <alignment horizontal="center"/>
    </xf>
    <xf numFmtId="0" fontId="0" fillId="6" borderId="2" xfId="0" applyFill="1" applyBorder="1" applyAlignment="1">
      <alignment horizontal="center"/>
    </xf>
    <xf numFmtId="0" fontId="21" fillId="4" borderId="2" xfId="0" applyFont="1" applyFill="1" applyBorder="1" applyAlignment="1">
      <alignment horizontal="center" vertical="center"/>
    </xf>
    <xf numFmtId="0" fontId="21" fillId="5" borderId="2" xfId="0" applyFont="1" applyFill="1" applyBorder="1" applyAlignment="1">
      <alignment horizontal="center" vertical="center"/>
    </xf>
    <xf numFmtId="0" fontId="4" fillId="11" borderId="2" xfId="0" applyFont="1" applyFill="1" applyBorder="1" applyAlignment="1">
      <alignment horizontal="left" vertical="center" indent="1"/>
    </xf>
    <xf numFmtId="0" fontId="4" fillId="15" borderId="2" xfId="0" applyFont="1" applyFill="1" applyBorder="1" applyAlignment="1">
      <alignment horizontal="left" vertical="center" indent="1"/>
    </xf>
    <xf numFmtId="0" fontId="4" fillId="6" borderId="2" xfId="0" applyFont="1" applyFill="1" applyBorder="1" applyAlignment="1">
      <alignment horizontal="left" vertical="center" indent="1"/>
    </xf>
    <xf numFmtId="0" fontId="12" fillId="6" borderId="2" xfId="0" applyFont="1" applyFill="1" applyBorder="1" applyAlignment="1">
      <alignment horizontal="left" vertical="center" indent="1"/>
    </xf>
    <xf numFmtId="0" fontId="22" fillId="7" borderId="2" xfId="0" applyFont="1" applyFill="1" applyBorder="1" applyAlignment="1">
      <alignment horizontal="left" vertical="center" wrapText="1" indent="1"/>
    </xf>
    <xf numFmtId="0" fontId="23" fillId="11" borderId="2" xfId="0" applyFont="1" applyFill="1" applyBorder="1" applyAlignment="1">
      <alignment horizontal="left" vertical="center" wrapText="1" indent="1"/>
    </xf>
    <xf numFmtId="0" fontId="24" fillId="15" borderId="2" xfId="0" applyFont="1" applyFill="1" applyBorder="1" applyAlignment="1">
      <alignment horizontal="left" vertical="center" wrapText="1" indent="1"/>
    </xf>
    <xf numFmtId="0" fontId="22" fillId="6" borderId="2" xfId="0" applyFont="1" applyFill="1" applyBorder="1" applyAlignment="1">
      <alignment horizontal="left" vertical="center" wrapText="1" indent="1"/>
    </xf>
    <xf numFmtId="0" fontId="0" fillId="0" borderId="0" xfId="0" applyAlignment="1"/>
    <xf numFmtId="164" fontId="12" fillId="24" borderId="2" xfId="0" applyNumberFormat="1" applyFont="1" applyFill="1" applyBorder="1" applyAlignment="1">
      <alignment horizontal="right" vertical="center"/>
    </xf>
    <xf numFmtId="164" fontId="12" fillId="23" borderId="2" xfId="0" applyNumberFormat="1" applyFont="1" applyFill="1" applyBorder="1" applyAlignment="1">
      <alignment horizontal="right" vertical="center"/>
    </xf>
    <xf numFmtId="164" fontId="28" fillId="23" borderId="2" xfId="0" applyNumberFormat="1" applyFont="1" applyFill="1" applyBorder="1" applyAlignment="1">
      <alignment horizontal="right" vertical="center"/>
    </xf>
    <xf numFmtId="164" fontId="28" fillId="24" borderId="2" xfId="0" applyNumberFormat="1" applyFont="1" applyFill="1" applyBorder="1" applyAlignment="1">
      <alignment horizontal="right" vertical="center"/>
    </xf>
    <xf numFmtId="164" fontId="29" fillId="0" borderId="2" xfId="0" applyNumberFormat="1" applyFont="1" applyBorder="1" applyAlignment="1">
      <alignment horizontal="right" vertical="center"/>
    </xf>
    <xf numFmtId="164" fontId="28" fillId="0" borderId="2" xfId="0" applyNumberFormat="1" applyFont="1" applyBorder="1" applyAlignment="1">
      <alignment horizontal="right" vertical="center"/>
    </xf>
    <xf numFmtId="164" fontId="28" fillId="10" borderId="2" xfId="0" applyNumberFormat="1" applyFont="1" applyFill="1" applyBorder="1" applyAlignment="1">
      <alignment horizontal="right" vertical="center"/>
    </xf>
    <xf numFmtId="164" fontId="28" fillId="15" borderId="2" xfId="0" applyNumberFormat="1" applyFont="1" applyFill="1" applyBorder="1" applyAlignment="1">
      <alignment horizontal="right" vertical="center"/>
    </xf>
    <xf numFmtId="164" fontId="29" fillId="23" borderId="2" xfId="0" applyNumberFormat="1" applyFont="1" applyFill="1" applyBorder="1" applyAlignment="1">
      <alignment horizontal="right" vertical="center"/>
    </xf>
    <xf numFmtId="164" fontId="28" fillId="25" borderId="2" xfId="0" applyNumberFormat="1" applyFont="1" applyFill="1" applyBorder="1" applyAlignment="1">
      <alignment horizontal="right" vertical="center"/>
    </xf>
    <xf numFmtId="164" fontId="29" fillId="25" borderId="2" xfId="0" applyNumberFormat="1" applyFont="1" applyFill="1" applyBorder="1" applyAlignment="1">
      <alignment horizontal="right" vertical="center"/>
    </xf>
    <xf numFmtId="0" fontId="0" fillId="0" borderId="0" xfId="0" applyFont="1" applyAlignment="1"/>
    <xf numFmtId="165" fontId="29" fillId="6" borderId="2" xfId="0" applyNumberFormat="1" applyFont="1" applyFill="1" applyBorder="1" applyAlignment="1">
      <alignment horizontal="right" vertical="center"/>
    </xf>
    <xf numFmtId="165" fontId="28" fillId="11" borderId="2" xfId="0" applyNumberFormat="1" applyFont="1" applyFill="1" applyBorder="1" applyAlignment="1">
      <alignment horizontal="right" vertical="center"/>
    </xf>
    <xf numFmtId="165" fontId="28" fillId="15" borderId="2" xfId="0" applyNumberFormat="1" applyFont="1" applyFill="1" applyBorder="1" applyAlignment="1">
      <alignment horizontal="right" vertical="center"/>
    </xf>
    <xf numFmtId="0" fontId="3" fillId="26" borderId="2" xfId="0" applyFont="1" applyFill="1" applyBorder="1" applyAlignment="1">
      <alignment horizontal="left" vertical="center"/>
    </xf>
    <xf numFmtId="0" fontId="3" fillId="27" borderId="2" xfId="0" applyFont="1" applyFill="1" applyBorder="1" applyAlignment="1">
      <alignment horizontal="left" vertical="center"/>
    </xf>
    <xf numFmtId="0" fontId="30" fillId="0" borderId="8" xfId="0" applyFont="1" applyBorder="1" applyAlignment="1"/>
    <xf numFmtId="0" fontId="8" fillId="8" borderId="3" xfId="0" applyFont="1" applyFill="1" applyBorder="1" applyAlignment="1">
      <alignment horizontal="left" vertical="center" wrapText="1"/>
    </xf>
    <xf numFmtId="0" fontId="0" fillId="0" borderId="4" xfId="0" applyBorder="1" applyAlignment="1"/>
    <xf numFmtId="0" fontId="0" fillId="0" borderId="7" xfId="0" applyBorder="1" applyAlignment="1"/>
    <xf numFmtId="0" fontId="0" fillId="0" borderId="0" xfId="0" applyAlignment="1"/>
    <xf numFmtId="0" fontId="7" fillId="7" borderId="2" xfId="0" applyFont="1" applyFill="1" applyBorder="1" applyAlignment="1">
      <alignment horizontal="left" vertical="center"/>
    </xf>
    <xf numFmtId="0" fontId="0" fillId="0" borderId="5" xfId="0" applyBorder="1" applyAlignment="1"/>
    <xf numFmtId="0" fontId="0" fillId="0" borderId="6" xfId="0" applyBorder="1" applyAlignment="1"/>
    <xf numFmtId="0" fontId="26" fillId="22" borderId="0" xfId="0" applyFont="1" applyFill="1" applyAlignment="1">
      <alignment horizontal="center" vertical="center"/>
    </xf>
    <xf numFmtId="0" fontId="4" fillId="25" borderId="2" xfId="0" applyFont="1" applyFill="1" applyBorder="1" applyAlignment="1">
      <alignment horizontal="left" vertical="center"/>
    </xf>
    <xf numFmtId="0" fontId="0" fillId="25" borderId="5" xfId="0" applyFill="1" applyBorder="1" applyAlignment="1"/>
    <xf numFmtId="0" fontId="0" fillId="25" borderId="6" xfId="0" applyFill="1" applyBorder="1" applyAlignment="1"/>
    <xf numFmtId="0" fontId="7" fillId="6" borderId="2" xfId="0" applyFont="1" applyFill="1" applyBorder="1" applyAlignment="1">
      <alignment horizontal="left" vertical="center"/>
    </xf>
    <xf numFmtId="0" fontId="1" fillId="2" borderId="0" xfId="0" applyFont="1" applyFill="1" applyAlignment="1">
      <alignment horizontal="center" vertical="center"/>
    </xf>
    <xf numFmtId="0" fontId="4" fillId="24" borderId="2" xfId="0" applyFont="1" applyFill="1" applyBorder="1" applyAlignment="1">
      <alignment horizontal="left" vertical="center"/>
    </xf>
    <xf numFmtId="0" fontId="0" fillId="24" borderId="5" xfId="0" applyFill="1" applyBorder="1" applyAlignment="1"/>
    <xf numFmtId="0" fontId="0" fillId="24" borderId="6" xfId="0" applyFill="1" applyBorder="1" applyAlignment="1"/>
    <xf numFmtId="0" fontId="5" fillId="2" borderId="1" xfId="0" applyFont="1" applyFill="1" applyBorder="1" applyAlignment="1">
      <alignment horizontal="center" vertical="center"/>
    </xf>
    <xf numFmtId="0" fontId="27" fillId="22" borderId="0" xfId="0" applyFont="1" applyFill="1" applyAlignment="1">
      <alignment horizontal="center" vertical="center"/>
    </xf>
    <xf numFmtId="0" fontId="2" fillId="5" borderId="1" xfId="0" applyFont="1" applyFill="1" applyBorder="1" applyAlignment="1">
      <alignment horizontal="center" vertical="center"/>
    </xf>
    <xf numFmtId="0" fontId="2"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14" fillId="12" borderId="1" xfId="0" applyFont="1" applyFill="1" applyBorder="1" applyAlignment="1">
      <alignment horizontal="left" vertical="center" indent="1"/>
    </xf>
    <xf numFmtId="0" fontId="10" fillId="9" borderId="1" xfId="0" applyFont="1" applyFill="1" applyBorder="1" applyAlignment="1">
      <alignment horizontal="center" vertical="center"/>
    </xf>
    <xf numFmtId="0" fontId="9" fillId="5" borderId="1" xfId="0" applyFont="1" applyFill="1" applyBorder="1" applyAlignment="1">
      <alignment horizontal="center" vertical="center"/>
    </xf>
    <xf numFmtId="0" fontId="14" fillId="5" borderId="1" xfId="0" applyFont="1" applyFill="1" applyBorder="1" applyAlignment="1">
      <alignment horizontal="left" vertical="center" indent="1"/>
    </xf>
    <xf numFmtId="0" fontId="10" fillId="14" borderId="1" xfId="0" applyFont="1" applyFill="1" applyBorder="1" applyAlignment="1">
      <alignment horizontal="center" vertical="center"/>
    </xf>
    <xf numFmtId="0" fontId="2" fillId="2" borderId="1" xfId="0" applyFont="1" applyFill="1" applyBorder="1" applyAlignment="1">
      <alignment horizontal="center" vertical="center"/>
    </xf>
    <xf numFmtId="0" fontId="14" fillId="4" borderId="1" xfId="0" applyFont="1" applyFill="1" applyBorder="1" applyAlignment="1">
      <alignment horizontal="left" vertical="center" indent="1"/>
    </xf>
    <xf numFmtId="0" fontId="14" fillId="2" borderId="1" xfId="0" applyFont="1" applyFill="1" applyBorder="1" applyAlignment="1">
      <alignment horizontal="left" vertical="center" indent="1"/>
    </xf>
    <xf numFmtId="0" fontId="11" fillId="3" borderId="1" xfId="0" applyFont="1" applyFill="1" applyBorder="1" applyAlignment="1">
      <alignment horizontal="center" vertical="center"/>
    </xf>
    <xf numFmtId="0" fontId="11" fillId="5" borderId="1" xfId="0" applyFont="1" applyFill="1" applyBorder="1" applyAlignment="1">
      <alignment horizontal="center" vertical="center"/>
    </xf>
    <xf numFmtId="0" fontId="11" fillId="4" borderId="1" xfId="0" applyFont="1" applyFill="1" applyBorder="1" applyAlignment="1">
      <alignment horizontal="center" vertical="center"/>
    </xf>
    <xf numFmtId="0" fontId="10" fillId="3" borderId="1" xfId="0" applyFont="1" applyFill="1" applyBorder="1" applyAlignment="1">
      <alignment horizontal="center" vertical="center"/>
    </xf>
    <xf numFmtId="0" fontId="25" fillId="2" borderId="1" xfId="0" applyFont="1" applyFill="1" applyBorder="1" applyAlignment="1">
      <alignment horizontal="center" vertical="center"/>
    </xf>
    <xf numFmtId="0" fontId="25" fillId="2"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ED1C24"/>
      <rgbColor rgb="FF00FF00"/>
      <rgbColor rgb="FF0000FF"/>
      <rgbColor rgb="FFF0F7E6"/>
      <rgbColor rgb="FFFF00FF"/>
      <rgbColor rgb="FF00FFFF"/>
      <rgbColor rgb="FF8B0000"/>
      <rgbColor rgb="FF006400"/>
      <rgbColor rgb="FF1A1A2E"/>
      <rgbColor rgb="FF7D6608"/>
      <rgbColor rgb="FF800080"/>
      <rgbColor rgb="FF1B5E20"/>
      <rgbColor rgb="FFBFBFBF"/>
      <rgbColor rgb="FF888888"/>
      <rgbColor rgb="FFAAAAAA"/>
      <rgbColor rgb="FF993366"/>
      <rgbColor rgb="FFFFF9C4"/>
      <rgbColor rgb="FFE8F5E9"/>
      <rgbColor rgb="FF660066"/>
      <rgbColor rgb="FFFFF0F0"/>
      <rgbColor rgb="FF0066CC"/>
      <rgbColor rgb="FFCCCCCC"/>
      <rgbColor rgb="FF000080"/>
      <rgbColor rgb="FFFF00FF"/>
      <rgbColor rgb="FFFFEBEE"/>
      <rgbColor rgb="FF00FFFF"/>
      <rgbColor rgb="FF800080"/>
      <rgbColor rgb="FF3D0000"/>
      <rgbColor rgb="FF008080"/>
      <rgbColor rgb="FF0000FF"/>
      <rgbColor rgb="FF00CCFF"/>
      <rgbColor rgb="FFDCE6F1"/>
      <rgbColor rgb="FFE2EFDA"/>
      <rgbColor rgb="FFFFF2CC"/>
      <rgbColor rgb="FFA5D6A7"/>
      <rgbColor rgb="FFEF9A9A"/>
      <rgbColor rgb="FFC8E6C9"/>
      <rgbColor rgb="FFFFCDD2"/>
      <rgbColor rgb="FF3366FF"/>
      <rgbColor rgb="FF33CCCC"/>
      <rgbColor rgb="FF76B900"/>
      <rgbColor rgb="FFFFE4E4"/>
      <rgbColor rgb="FFF5F5F5"/>
      <rgbColor rgb="FFFF6600"/>
      <rgbColor rgb="FF595959"/>
      <rgbColor rgb="FF999999"/>
      <rgbColor rgb="FF0F3460"/>
      <rgbColor rgb="FF339966"/>
      <rgbColor rgb="FF16213E"/>
      <rgbColor rgb="FF1A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E8F5E9"/>
      <color rgb="FFFFEB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showGridLines="0" zoomScaleNormal="100" workbookViewId="0">
      <selection activeCell="M15" sqref="M15"/>
    </sheetView>
  </sheetViews>
  <sheetFormatPr defaultColWidth="8.7109375" defaultRowHeight="15"/>
  <cols>
    <col min="1" max="1" width="3" style="1" customWidth="1"/>
    <col min="2" max="11" width="16" style="1" customWidth="1"/>
  </cols>
  <sheetData>
    <row r="1" spans="2:11" ht="7.5" customHeight="1">
      <c r="B1" s="85"/>
      <c r="C1" s="85"/>
      <c r="D1" s="85"/>
      <c r="E1" s="85"/>
      <c r="F1" s="85"/>
      <c r="G1" s="85"/>
      <c r="H1" s="85"/>
      <c r="I1" s="85"/>
      <c r="J1" s="85"/>
      <c r="K1" s="85"/>
    </row>
    <row r="3" spans="2:11" ht="49.5" customHeight="1">
      <c r="B3" s="116" t="s">
        <v>0</v>
      </c>
      <c r="C3" s="107"/>
      <c r="D3" s="107"/>
      <c r="E3" s="107"/>
      <c r="F3" s="107"/>
      <c r="G3" s="107"/>
      <c r="H3" s="107"/>
      <c r="I3" s="107"/>
      <c r="J3" s="107"/>
      <c r="K3" s="107"/>
    </row>
    <row r="4" spans="2:11" ht="30" customHeight="1">
      <c r="B4" s="111" t="s">
        <v>1</v>
      </c>
      <c r="C4" s="107"/>
      <c r="D4" s="107"/>
      <c r="E4" s="107"/>
      <c r="F4" s="107"/>
      <c r="G4" s="107"/>
      <c r="H4" s="107"/>
      <c r="I4" s="107"/>
      <c r="J4" s="107"/>
      <c r="K4" s="107"/>
    </row>
    <row r="5" spans="2:11" ht="24" customHeight="1">
      <c r="B5" s="121" t="s">
        <v>2</v>
      </c>
      <c r="C5" s="107"/>
      <c r="D5" s="107"/>
      <c r="E5" s="107"/>
      <c r="F5" s="107"/>
      <c r="G5" s="107"/>
      <c r="H5" s="107"/>
      <c r="I5" s="107"/>
      <c r="J5" s="107"/>
      <c r="K5" s="107"/>
    </row>
    <row r="6" spans="2:11" ht="12" customHeight="1">
      <c r="B6" s="85"/>
      <c r="C6" s="85"/>
      <c r="D6" s="85"/>
      <c r="E6" s="85"/>
      <c r="F6" s="85"/>
      <c r="G6" s="85"/>
      <c r="H6" s="85"/>
      <c r="I6" s="85"/>
      <c r="J6" s="85"/>
      <c r="K6" s="85"/>
    </row>
    <row r="7" spans="2:11" ht="19.5" customHeight="1">
      <c r="B7" s="123" t="s">
        <v>3</v>
      </c>
      <c r="C7" s="109"/>
      <c r="D7" s="109"/>
      <c r="E7" s="109"/>
      <c r="F7" s="109"/>
      <c r="G7" s="122" t="s">
        <v>4</v>
      </c>
      <c r="H7" s="109"/>
      <c r="I7" s="109"/>
      <c r="J7" s="109"/>
      <c r="K7" s="109"/>
    </row>
    <row r="8" spans="2:11" ht="19.5" customHeight="1">
      <c r="B8" s="102" t="s">
        <v>5</v>
      </c>
      <c r="C8" s="117" t="s">
        <v>6</v>
      </c>
      <c r="D8" s="118"/>
      <c r="E8" s="118"/>
      <c r="F8" s="119"/>
      <c r="G8" s="101" t="s">
        <v>5</v>
      </c>
      <c r="H8" s="112" t="s">
        <v>6</v>
      </c>
      <c r="I8" s="113"/>
      <c r="J8" s="113"/>
      <c r="K8" s="114"/>
    </row>
    <row r="9" spans="2:11" ht="19.5" customHeight="1">
      <c r="B9" s="102" t="s">
        <v>7</v>
      </c>
      <c r="C9" s="117" t="s">
        <v>8</v>
      </c>
      <c r="D9" s="118"/>
      <c r="E9" s="118"/>
      <c r="F9" s="119"/>
      <c r="G9" s="101" t="s">
        <v>7</v>
      </c>
      <c r="H9" s="112" t="s">
        <v>8</v>
      </c>
      <c r="I9" s="113"/>
      <c r="J9" s="113"/>
      <c r="K9" s="114"/>
    </row>
    <row r="10" spans="2:11" ht="19.5" customHeight="1">
      <c r="B10" s="102" t="s">
        <v>9</v>
      </c>
      <c r="C10" s="117" t="s">
        <v>10</v>
      </c>
      <c r="D10" s="118"/>
      <c r="E10" s="118"/>
      <c r="F10" s="119"/>
      <c r="G10" s="101" t="s">
        <v>9</v>
      </c>
      <c r="H10" s="112" t="s">
        <v>11</v>
      </c>
      <c r="I10" s="113"/>
      <c r="J10" s="113"/>
      <c r="K10" s="114"/>
    </row>
    <row r="11" spans="2:11" ht="19.5" customHeight="1">
      <c r="B11" s="102" t="s">
        <v>12</v>
      </c>
      <c r="C11" s="117" t="s">
        <v>13</v>
      </c>
      <c r="D11" s="118"/>
      <c r="E11" s="118"/>
      <c r="F11" s="119"/>
      <c r="G11" s="101" t="s">
        <v>12</v>
      </c>
      <c r="H11" s="112" t="s">
        <v>13</v>
      </c>
      <c r="I11" s="113"/>
      <c r="J11" s="113"/>
      <c r="K11" s="114"/>
    </row>
    <row r="12" spans="2:11" ht="19.5" customHeight="1">
      <c r="B12" s="102" t="s">
        <v>14</v>
      </c>
      <c r="C12" s="117" t="s">
        <v>15</v>
      </c>
      <c r="D12" s="118"/>
      <c r="E12" s="118"/>
      <c r="F12" s="119"/>
      <c r="G12" s="101" t="s">
        <v>14</v>
      </c>
      <c r="H12" s="112" t="s">
        <v>15</v>
      </c>
      <c r="I12" s="113"/>
      <c r="J12" s="113"/>
      <c r="K12" s="114"/>
    </row>
    <row r="13" spans="2:11" ht="19.5" customHeight="1">
      <c r="B13" s="102" t="s">
        <v>16</v>
      </c>
      <c r="C13" s="117" t="s">
        <v>17</v>
      </c>
      <c r="D13" s="118"/>
      <c r="E13" s="118"/>
      <c r="F13" s="119"/>
      <c r="G13" s="101" t="s">
        <v>16</v>
      </c>
      <c r="H13" s="112" t="s">
        <v>17</v>
      </c>
      <c r="I13" s="113"/>
      <c r="J13" s="113"/>
      <c r="K13" s="114"/>
    </row>
    <row r="14" spans="2:11" ht="12" customHeight="1">
      <c r="B14" s="85"/>
      <c r="C14" s="85"/>
      <c r="D14" s="85"/>
      <c r="E14" s="85"/>
      <c r="F14" s="85"/>
      <c r="G14" s="85"/>
      <c r="H14" s="85"/>
      <c r="I14" s="85"/>
      <c r="J14" s="85"/>
      <c r="K14" s="85"/>
    </row>
    <row r="15" spans="2:11" ht="19.5" customHeight="1">
      <c r="B15" s="120" t="s">
        <v>18</v>
      </c>
      <c r="C15" s="109"/>
      <c r="D15" s="109"/>
      <c r="E15" s="109"/>
      <c r="F15" s="109"/>
      <c r="G15" s="109"/>
      <c r="H15" s="109"/>
      <c r="I15" s="109"/>
      <c r="J15" s="109"/>
      <c r="K15" s="109"/>
    </row>
    <row r="16" spans="2:11" ht="18" customHeight="1">
      <c r="B16" s="3" t="s">
        <v>19</v>
      </c>
      <c r="C16" s="108" t="s">
        <v>20</v>
      </c>
      <c r="D16" s="109"/>
      <c r="E16" s="109"/>
      <c r="F16" s="109"/>
      <c r="G16" s="109"/>
      <c r="H16" s="109"/>
      <c r="I16" s="109"/>
      <c r="J16" s="109"/>
      <c r="K16" s="110"/>
    </row>
    <row r="17" spans="2:11" ht="18" customHeight="1">
      <c r="B17" s="4" t="s">
        <v>21</v>
      </c>
      <c r="C17" s="115" t="s">
        <v>22</v>
      </c>
      <c r="D17" s="109"/>
      <c r="E17" s="109"/>
      <c r="F17" s="109"/>
      <c r="G17" s="109"/>
      <c r="H17" s="109"/>
      <c r="I17" s="109"/>
      <c r="J17" s="109"/>
      <c r="K17" s="110"/>
    </row>
    <row r="18" spans="2:11" ht="18" customHeight="1">
      <c r="B18" s="3" t="s">
        <v>23</v>
      </c>
      <c r="C18" s="108" t="s">
        <v>24</v>
      </c>
      <c r="D18" s="109"/>
      <c r="E18" s="109"/>
      <c r="F18" s="109"/>
      <c r="G18" s="109"/>
      <c r="H18" s="109"/>
      <c r="I18" s="109"/>
      <c r="J18" s="109"/>
      <c r="K18" s="110"/>
    </row>
    <row r="19" spans="2:11" ht="18" customHeight="1">
      <c r="B19" s="4" t="s">
        <v>25</v>
      </c>
      <c r="C19" s="115" t="s">
        <v>26</v>
      </c>
      <c r="D19" s="109"/>
      <c r="E19" s="109"/>
      <c r="F19" s="109"/>
      <c r="G19" s="109"/>
      <c r="H19" s="109"/>
      <c r="I19" s="109"/>
      <c r="J19" s="109"/>
      <c r="K19" s="110"/>
    </row>
    <row r="20" spans="2:11" ht="18" customHeight="1">
      <c r="B20" s="3" t="s">
        <v>27</v>
      </c>
      <c r="C20" s="108" t="s">
        <v>28</v>
      </c>
      <c r="D20" s="109"/>
      <c r="E20" s="109"/>
      <c r="F20" s="109"/>
      <c r="G20" s="109"/>
      <c r="H20" s="109"/>
      <c r="I20" s="109"/>
      <c r="J20" s="109"/>
      <c r="K20" s="110"/>
    </row>
    <row r="21" spans="2:11" ht="18" customHeight="1">
      <c r="B21" s="4" t="s">
        <v>29</v>
      </c>
      <c r="C21" s="115" t="s">
        <v>30</v>
      </c>
      <c r="D21" s="109"/>
      <c r="E21" s="109"/>
      <c r="F21" s="109"/>
      <c r="G21" s="109"/>
      <c r="H21" s="109"/>
      <c r="I21" s="109"/>
      <c r="J21" s="109"/>
      <c r="K21" s="110"/>
    </row>
    <row r="22" spans="2:11" ht="18" customHeight="1">
      <c r="B22" s="3" t="s">
        <v>31</v>
      </c>
      <c r="C22" s="108" t="s">
        <v>32</v>
      </c>
      <c r="D22" s="109"/>
      <c r="E22" s="109"/>
      <c r="F22" s="109"/>
      <c r="G22" s="109"/>
      <c r="H22" s="109"/>
      <c r="I22" s="109"/>
      <c r="J22" s="109"/>
      <c r="K22" s="110"/>
    </row>
    <row r="24" spans="2:11" ht="12" customHeight="1">
      <c r="B24" s="85"/>
      <c r="C24" s="85"/>
      <c r="D24" s="85"/>
      <c r="E24" s="85"/>
      <c r="F24" s="85"/>
      <c r="G24" s="85"/>
      <c r="H24" s="85"/>
      <c r="I24" s="85"/>
      <c r="J24" s="85"/>
      <c r="K24" s="85"/>
    </row>
    <row r="25" spans="2:11" ht="24" customHeight="1">
      <c r="B25" s="104" t="s">
        <v>33</v>
      </c>
      <c r="C25" s="105"/>
      <c r="D25" s="105"/>
      <c r="E25" s="105"/>
      <c r="F25" s="105"/>
      <c r="G25" s="105"/>
      <c r="H25" s="105"/>
      <c r="I25" s="105"/>
      <c r="J25" s="105"/>
      <c r="K25" s="105"/>
    </row>
    <row r="26" spans="2:11" ht="24" customHeight="1">
      <c r="B26" s="106"/>
      <c r="C26" s="107"/>
      <c r="D26" s="107"/>
      <c r="E26" s="107"/>
      <c r="F26" s="107"/>
      <c r="G26" s="107"/>
      <c r="H26" s="107"/>
      <c r="I26" s="107"/>
      <c r="J26" s="107"/>
      <c r="K26" s="107"/>
    </row>
  </sheetData>
  <mergeCells count="26">
    <mergeCell ref="H12:K12"/>
    <mergeCell ref="B3:K3"/>
    <mergeCell ref="H10:K10"/>
    <mergeCell ref="H9:K9"/>
    <mergeCell ref="C10:F10"/>
    <mergeCell ref="C9:F9"/>
    <mergeCell ref="B5:K5"/>
    <mergeCell ref="G7:K7"/>
    <mergeCell ref="B7:F7"/>
    <mergeCell ref="C8:F8"/>
    <mergeCell ref="B25:K26"/>
    <mergeCell ref="C20:K20"/>
    <mergeCell ref="B4:K4"/>
    <mergeCell ref="H8:K8"/>
    <mergeCell ref="C17:K17"/>
    <mergeCell ref="H11:K11"/>
    <mergeCell ref="C12:F12"/>
    <mergeCell ref="C11:F11"/>
    <mergeCell ref="C22:K22"/>
    <mergeCell ref="B15:K15"/>
    <mergeCell ref="C13:F13"/>
    <mergeCell ref="C21:K21"/>
    <mergeCell ref="C19:K19"/>
    <mergeCell ref="C18:K18"/>
    <mergeCell ref="C16:K16"/>
    <mergeCell ref="H13:K13"/>
  </mergeCells>
  <printOptions horizontalCentered="1" verticalCentered="1" headings="1" gridLines="1"/>
  <pageMargins left="0.75" right="0.75" top="1" bottom="1" header="0.511811023622047" footer="0.511811023622047"/>
  <pageSetup paperSize="8" fitToWidth="0"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3"/>
  <sheetViews>
    <sheetView showGridLines="0" topLeftCell="A25" zoomScaleNormal="100" workbookViewId="0"/>
  </sheetViews>
  <sheetFormatPr defaultColWidth="8.7109375" defaultRowHeight="15"/>
  <cols>
    <col min="1" max="1" width="3" style="1" customWidth="1"/>
    <col min="2" max="2" width="28" style="1" customWidth="1"/>
    <col min="3" max="3" width="2" style="1" customWidth="1"/>
    <col min="4" max="9" width="14" style="1" customWidth="1"/>
    <col min="10" max="10" width="3" style="1" customWidth="1"/>
  </cols>
  <sheetData>
    <row r="1" spans="1:10" ht="31.5" customHeight="1">
      <c r="A1" s="124" t="s">
        <v>34</v>
      </c>
      <c r="B1" s="109"/>
      <c r="C1" s="109"/>
      <c r="D1" s="109"/>
      <c r="E1" s="109"/>
      <c r="F1" s="109"/>
      <c r="G1" s="109"/>
      <c r="H1" s="109"/>
      <c r="I1" s="109"/>
      <c r="J1" s="109"/>
    </row>
    <row r="2" spans="1:10" ht="18" customHeight="1">
      <c r="A2" s="126" t="s">
        <v>35</v>
      </c>
      <c r="B2" s="109"/>
      <c r="C2" s="109"/>
      <c r="D2" s="109"/>
      <c r="E2" s="109"/>
      <c r="F2" s="109"/>
      <c r="G2" s="109"/>
      <c r="H2" s="109"/>
      <c r="I2" s="109"/>
      <c r="J2" s="109"/>
    </row>
    <row r="3" spans="1:10" ht="7.5" customHeight="1">
      <c r="A3" s="85"/>
      <c r="B3" s="85"/>
      <c r="C3" s="85"/>
      <c r="D3" s="85"/>
      <c r="E3" s="85"/>
      <c r="F3" s="85"/>
      <c r="G3" s="85"/>
      <c r="H3" s="85"/>
      <c r="I3" s="85"/>
      <c r="J3" s="85"/>
    </row>
    <row r="4" spans="1:10" ht="19.5" customHeight="1">
      <c r="A4" s="85"/>
      <c r="B4" s="5" t="s">
        <v>36</v>
      </c>
      <c r="C4" s="85"/>
      <c r="D4" s="6" t="s">
        <v>37</v>
      </c>
      <c r="E4" s="6" t="s">
        <v>38</v>
      </c>
      <c r="F4" s="6" t="s">
        <v>39</v>
      </c>
      <c r="G4" s="6" t="s">
        <v>40</v>
      </c>
      <c r="H4" s="7" t="s">
        <v>41</v>
      </c>
      <c r="I4" s="85"/>
      <c r="J4" s="85"/>
    </row>
    <row r="5" spans="1:10" ht="15" customHeight="1">
      <c r="A5" s="85"/>
      <c r="B5" s="8" t="s">
        <v>42</v>
      </c>
      <c r="C5" s="85"/>
      <c r="D5" s="9">
        <v>26914</v>
      </c>
      <c r="E5" s="9">
        <v>26974</v>
      </c>
      <c r="F5" s="9">
        <v>60922</v>
      </c>
      <c r="G5" s="9">
        <v>130497</v>
      </c>
      <c r="H5" s="88">
        <v>193000</v>
      </c>
      <c r="I5" s="85"/>
      <c r="J5" s="85"/>
    </row>
    <row r="6" spans="1:10" ht="15" customHeight="1">
      <c r="A6" s="85"/>
      <c r="B6" s="2" t="s">
        <v>43</v>
      </c>
      <c r="C6" s="85"/>
      <c r="D6" s="10">
        <v>9439</v>
      </c>
      <c r="E6" s="10">
        <v>11618</v>
      </c>
      <c r="F6" s="10">
        <v>16621</v>
      </c>
      <c r="G6" s="10">
        <v>37639</v>
      </c>
      <c r="H6" s="88">
        <v>54000</v>
      </c>
      <c r="I6" s="85"/>
      <c r="J6" s="85"/>
    </row>
    <row r="7" spans="1:10" ht="15" customHeight="1">
      <c r="A7" s="85"/>
      <c r="B7" s="11" t="s">
        <v>44</v>
      </c>
      <c r="C7" s="85"/>
      <c r="D7" s="12">
        <f>D5-D6</f>
        <v>17475</v>
      </c>
      <c r="E7" s="12">
        <f>E5-E6</f>
        <v>15356</v>
      </c>
      <c r="F7" s="12">
        <f>F5-F6</f>
        <v>44301</v>
      </c>
      <c r="G7" s="12">
        <f>G5-G6</f>
        <v>92858</v>
      </c>
      <c r="H7" s="89">
        <f>H5-H6</f>
        <v>139000</v>
      </c>
      <c r="I7" s="85"/>
      <c r="J7" s="85"/>
    </row>
    <row r="8" spans="1:10" ht="15" customHeight="1">
      <c r="A8" s="85"/>
      <c r="B8" s="2" t="s">
        <v>45</v>
      </c>
      <c r="C8" s="85"/>
      <c r="D8" s="10">
        <v>5268</v>
      </c>
      <c r="E8" s="10">
        <v>7339</v>
      </c>
      <c r="F8" s="10">
        <v>8675</v>
      </c>
      <c r="G8" s="10">
        <v>12914</v>
      </c>
      <c r="H8" s="88">
        <v>17000</v>
      </c>
      <c r="I8" s="85"/>
      <c r="J8" s="85"/>
    </row>
    <row r="9" spans="1:10" ht="15" customHeight="1">
      <c r="A9" s="85"/>
      <c r="B9" s="2" t="s">
        <v>46</v>
      </c>
      <c r="C9" s="85"/>
      <c r="D9" s="10">
        <v>893</v>
      </c>
      <c r="E9" s="10">
        <v>832</v>
      </c>
      <c r="F9" s="10">
        <v>905</v>
      </c>
      <c r="G9" s="10">
        <v>1280</v>
      </c>
      <c r="H9" s="88">
        <v>1700</v>
      </c>
      <c r="I9" s="85"/>
      <c r="J9" s="85"/>
    </row>
    <row r="10" spans="1:10" ht="15" customHeight="1">
      <c r="A10" s="85"/>
      <c r="B10" s="2" t="s">
        <v>47</v>
      </c>
      <c r="C10" s="85"/>
      <c r="D10" s="10">
        <v>696</v>
      </c>
      <c r="E10" s="10">
        <v>751</v>
      </c>
      <c r="F10" s="10">
        <v>891</v>
      </c>
      <c r="G10" s="10">
        <v>1021</v>
      </c>
      <c r="H10" s="88">
        <v>1300</v>
      </c>
      <c r="I10" s="85"/>
      <c r="J10" s="85"/>
    </row>
    <row r="11" spans="1:10" ht="15" customHeight="1">
      <c r="A11" s="85"/>
      <c r="B11" s="13" t="s">
        <v>48</v>
      </c>
      <c r="C11" s="85"/>
      <c r="D11" s="14">
        <f>D8+D9+D10</f>
        <v>6857</v>
      </c>
      <c r="E11" s="14">
        <f>E8+E9+E10</f>
        <v>8922</v>
      </c>
      <c r="F11" s="14">
        <f>F8+F9+F10</f>
        <v>10471</v>
      </c>
      <c r="G11" s="14">
        <f>G8+G9+G10</f>
        <v>15215</v>
      </c>
      <c r="H11" s="86">
        <f>H8+H9+H10</f>
        <v>20000</v>
      </c>
      <c r="I11" s="85"/>
      <c r="J11" s="85"/>
    </row>
    <row r="12" spans="1:10" ht="15" customHeight="1">
      <c r="A12" s="85"/>
      <c r="B12" s="11" t="s">
        <v>49</v>
      </c>
      <c r="C12" s="85"/>
      <c r="D12" s="12">
        <f>D7-D11</f>
        <v>10618</v>
      </c>
      <c r="E12" s="12">
        <f>E7-E11</f>
        <v>6434</v>
      </c>
      <c r="F12" s="12">
        <f>F7-F11</f>
        <v>33830</v>
      </c>
      <c r="G12" s="12">
        <f>G7-G11</f>
        <v>77643</v>
      </c>
      <c r="H12" s="86">
        <f>H7-H11</f>
        <v>119000</v>
      </c>
      <c r="I12" s="85"/>
      <c r="J12" s="85"/>
    </row>
    <row r="13" spans="1:10" ht="15" customHeight="1">
      <c r="A13" s="85"/>
      <c r="B13" s="2" t="s">
        <v>50</v>
      </c>
      <c r="C13" s="85"/>
      <c r="D13" s="10">
        <v>107</v>
      </c>
      <c r="E13" s="10">
        <v>237</v>
      </c>
      <c r="F13" s="10">
        <v>866</v>
      </c>
      <c r="G13" s="10">
        <v>2058</v>
      </c>
      <c r="H13" s="88">
        <v>2500</v>
      </c>
      <c r="I13" s="85"/>
      <c r="J13" s="85"/>
    </row>
    <row r="14" spans="1:10" ht="15" customHeight="1">
      <c r="A14" s="85"/>
      <c r="B14" s="11" t="s">
        <v>51</v>
      </c>
      <c r="C14" s="85"/>
      <c r="D14" s="12">
        <f>D12+D5*0.02</f>
        <v>11156.28</v>
      </c>
      <c r="E14" s="12">
        <f>E12+E5*0.02</f>
        <v>6973.48</v>
      </c>
      <c r="F14" s="12">
        <f>F12+F5*0.02</f>
        <v>35048.44</v>
      </c>
      <c r="G14" s="12">
        <f>G12+G5*0.02</f>
        <v>80252.94</v>
      </c>
      <c r="H14" s="12">
        <f>H12+H5*0.02</f>
        <v>122860</v>
      </c>
      <c r="I14" s="85"/>
      <c r="J14" s="85"/>
    </row>
    <row r="15" spans="1:10" ht="15" customHeight="1">
      <c r="A15" s="85"/>
      <c r="B15" s="8" t="s">
        <v>52</v>
      </c>
      <c r="C15" s="85"/>
      <c r="D15" s="9">
        <f>D12+D13</f>
        <v>10725</v>
      </c>
      <c r="E15" s="9">
        <f>E12+E13</f>
        <v>6671</v>
      </c>
      <c r="F15" s="9">
        <f>F12+F13</f>
        <v>34696</v>
      </c>
      <c r="G15" s="9">
        <f>G12+G13</f>
        <v>79701</v>
      </c>
      <c r="H15" s="87">
        <f>H12+H13</f>
        <v>121500</v>
      </c>
      <c r="I15" s="85"/>
      <c r="J15" s="85"/>
    </row>
    <row r="16" spans="1:10" ht="15" customHeight="1">
      <c r="A16" s="85"/>
      <c r="B16" s="2" t="s">
        <v>53</v>
      </c>
      <c r="C16" s="85"/>
      <c r="D16" s="10">
        <f>D15*0.02</f>
        <v>214.5</v>
      </c>
      <c r="E16" s="10">
        <f>E15*0.126</f>
        <v>840.54600000000005</v>
      </c>
      <c r="F16" s="10">
        <f>F15*0.124</f>
        <v>4302.3040000000001</v>
      </c>
      <c r="G16" s="10">
        <f>G15*0.13</f>
        <v>10361.130000000001</v>
      </c>
      <c r="H16" s="87">
        <f>H15*0.13</f>
        <v>15795</v>
      </c>
      <c r="I16" s="85"/>
      <c r="J16" s="85"/>
    </row>
    <row r="17" spans="1:9" ht="15" customHeight="1">
      <c r="A17" s="85"/>
      <c r="B17" s="11" t="s">
        <v>54</v>
      </c>
      <c r="C17" s="85"/>
      <c r="D17" s="12">
        <f>D15-D16</f>
        <v>10510.5</v>
      </c>
      <c r="E17" s="12">
        <f>E15-E16</f>
        <v>5830.4539999999997</v>
      </c>
      <c r="F17" s="12">
        <f>F15-F16</f>
        <v>30393.696</v>
      </c>
      <c r="G17" s="12">
        <f>G15-G16</f>
        <v>69339.87</v>
      </c>
      <c r="H17" s="12">
        <f>H15-H16</f>
        <v>105705</v>
      </c>
      <c r="I17" s="85"/>
    </row>
    <row r="19" spans="1:9" ht="15" customHeight="1">
      <c r="A19" s="125" t="s">
        <v>55</v>
      </c>
      <c r="B19" s="109"/>
      <c r="C19" s="109"/>
      <c r="D19" s="109"/>
      <c r="E19" s="109"/>
      <c r="F19" s="109"/>
      <c r="G19" s="109"/>
      <c r="H19" s="109"/>
      <c r="I19" s="109"/>
    </row>
    <row r="20" spans="1:9" ht="15" customHeight="1">
      <c r="A20" s="85"/>
      <c r="B20" s="15" t="s">
        <v>56</v>
      </c>
      <c r="C20" s="85"/>
      <c r="D20" s="16">
        <f>IF(D5=0,0,D7/D5)</f>
        <v>0.64929033216913135</v>
      </c>
      <c r="E20" s="16">
        <f>IF(E5=0,0,E7/E5)</f>
        <v>0.56928894490991322</v>
      </c>
      <c r="F20" s="16">
        <f>IF(F5=0,0,F7/F5)</f>
        <v>0.72717573290436954</v>
      </c>
      <c r="G20" s="16">
        <f>IF(G5=0,0,G7/G5)</f>
        <v>0.71157191353057925</v>
      </c>
      <c r="H20" s="16">
        <f>IF(H5=0,0,H7/H5)</f>
        <v>0.72020725388601037</v>
      </c>
      <c r="I20" s="85"/>
    </row>
    <row r="21" spans="1:9" ht="15" customHeight="1">
      <c r="A21" s="85"/>
      <c r="B21" s="15" t="s">
        <v>57</v>
      </c>
      <c r="C21" s="85"/>
      <c r="D21" s="16">
        <f>IF(D5=0,0,D12/D5)</f>
        <v>0.39451586534888905</v>
      </c>
      <c r="E21" s="16">
        <f>IF(E5=0,0,E12/E5)</f>
        <v>0.2385259879884333</v>
      </c>
      <c r="F21" s="16">
        <f>IF(F5=0,0,F12/F5)</f>
        <v>0.55530021995338297</v>
      </c>
      <c r="G21" s="16">
        <f>IF(G5=0,0,G12/G5)</f>
        <v>0.59497919492402129</v>
      </c>
      <c r="H21" s="16">
        <f>IF(H5=0,0,H12/H5)</f>
        <v>0.61658031088082899</v>
      </c>
      <c r="I21" s="85"/>
    </row>
    <row r="22" spans="1:9" ht="15" customHeight="1">
      <c r="A22" s="85"/>
      <c r="B22" s="15" t="s">
        <v>58</v>
      </c>
      <c r="C22" s="85"/>
      <c r="D22" s="16">
        <f>IF(D5=0,0,D14/D5)</f>
        <v>0.41451586534888907</v>
      </c>
      <c r="E22" s="16">
        <f>IF(E5=0,0,E14/E5)</f>
        <v>0.25852598798843329</v>
      </c>
      <c r="F22" s="16">
        <f>IF(F5=0,0,F14/F5)</f>
        <v>0.5753002199533831</v>
      </c>
      <c r="G22" s="16">
        <f>IF(G5=0,0,G14/G5)</f>
        <v>0.61497919492402131</v>
      </c>
      <c r="H22" s="16">
        <f>IF(H5=0,0,H14/H5)</f>
        <v>0.636580310880829</v>
      </c>
      <c r="I22" s="85"/>
    </row>
    <row r="23" spans="1:9" ht="15" customHeight="1">
      <c r="A23" s="85"/>
      <c r="B23" s="15" t="s">
        <v>59</v>
      </c>
      <c r="C23" s="85"/>
      <c r="D23" s="16">
        <f>IF(D5=0,0,D17/D5)</f>
        <v>0.39052166158876422</v>
      </c>
      <c r="E23" s="16">
        <f>IF(E5=0,0,E17/E5)</f>
        <v>0.21615088603840735</v>
      </c>
      <c r="F23" s="16">
        <f>IF(F5=0,0,F17/F5)</f>
        <v>0.49889524309773153</v>
      </c>
      <c r="G23" s="16">
        <f>IF(G5=0,0,G17/G5)</f>
        <v>0.53135221499344809</v>
      </c>
      <c r="H23" s="16">
        <f>IF(H5=0,0,H17/H5)</f>
        <v>0.54769430051813472</v>
      </c>
      <c r="I23" s="85"/>
    </row>
    <row r="25" spans="1:9" ht="15" customHeight="1">
      <c r="A25" s="125" t="s">
        <v>60</v>
      </c>
      <c r="B25" s="109"/>
      <c r="C25" s="109"/>
      <c r="D25" s="109"/>
      <c r="E25" s="109"/>
      <c r="F25" s="109"/>
      <c r="G25" s="109"/>
      <c r="H25" s="109"/>
      <c r="I25" s="109"/>
    </row>
    <row r="26" spans="1:9" ht="15" customHeight="1">
      <c r="A26" s="85"/>
      <c r="B26" s="15" t="s">
        <v>61</v>
      </c>
      <c r="C26" s="85"/>
      <c r="D26" s="103" t="s">
        <v>62</v>
      </c>
      <c r="E26" s="16">
        <f>IF(D5=0,0,(E5-D5)/D5)</f>
        <v>2.2293230289068887E-3</v>
      </c>
      <c r="F26" s="16">
        <f>IF(E5=0,0,(F5-E5)/E5)</f>
        <v>1.2585452658115222</v>
      </c>
      <c r="G26" s="16">
        <f>IF(F5=0,0,(G5-F5)/F5)</f>
        <v>1.1420340763599357</v>
      </c>
      <c r="H26" s="16">
        <f>IF(G5=0,0,(H5-G5)/G5)</f>
        <v>0.47896120217323002</v>
      </c>
      <c r="I26" s="85"/>
    </row>
    <row r="27" spans="1:9" ht="15" customHeight="1">
      <c r="A27" s="85"/>
      <c r="B27" s="15" t="s">
        <v>63</v>
      </c>
      <c r="C27" s="85"/>
      <c r="D27" s="103" t="s">
        <v>62</v>
      </c>
      <c r="E27" s="16">
        <f>IF(D17=0,0,(E17-D17)/D17)</f>
        <v>-0.44527339327339333</v>
      </c>
      <c r="F27" s="16">
        <f>IF(E17=0,0,(F17-E17)/E17)</f>
        <v>4.2129209835117472</v>
      </c>
      <c r="G27" s="16">
        <f>IF(F17=0,0,(G17-F17)/F17)</f>
        <v>1.2813898645298025</v>
      </c>
      <c r="H27" s="16">
        <f>IF(G17=0,0,(H17-G17)/G17)</f>
        <v>0.52444762299092873</v>
      </c>
      <c r="I27" s="85"/>
    </row>
    <row r="30" spans="1:9" ht="15" customHeight="1">
      <c r="A30" s="120" t="s">
        <v>64</v>
      </c>
      <c r="B30" s="109"/>
      <c r="C30" s="109"/>
      <c r="D30" s="109"/>
      <c r="E30" s="109"/>
      <c r="F30" s="109"/>
      <c r="G30" s="109"/>
      <c r="H30" s="109"/>
      <c r="I30" s="109"/>
    </row>
    <row r="31" spans="1:9" ht="15" customHeight="1">
      <c r="A31" s="85"/>
      <c r="B31" s="17" t="s">
        <v>65</v>
      </c>
      <c r="C31" s="17"/>
      <c r="D31" s="17" t="s">
        <v>37</v>
      </c>
      <c r="E31" s="17" t="s">
        <v>38</v>
      </c>
      <c r="F31" s="17" t="s">
        <v>39</v>
      </c>
      <c r="G31" s="17" t="s">
        <v>40</v>
      </c>
      <c r="H31" s="17" t="s">
        <v>41</v>
      </c>
      <c r="I31" s="17"/>
    </row>
    <row r="32" spans="1:9" ht="15" customHeight="1">
      <c r="A32" s="85"/>
      <c r="B32" s="18" t="s">
        <v>66</v>
      </c>
      <c r="C32" s="85"/>
      <c r="D32" s="19">
        <v>19306</v>
      </c>
      <c r="E32" s="19">
        <v>13296</v>
      </c>
      <c r="F32" s="19">
        <v>25984</v>
      </c>
      <c r="G32" s="19">
        <v>43210</v>
      </c>
      <c r="H32" s="90">
        <v>65000</v>
      </c>
      <c r="I32" s="85"/>
    </row>
    <row r="33" spans="1:9" ht="15" customHeight="1">
      <c r="A33" s="85"/>
      <c r="B33" s="20" t="s">
        <v>67</v>
      </c>
      <c r="C33" s="85"/>
      <c r="D33" s="21">
        <v>44187</v>
      </c>
      <c r="E33" s="21">
        <v>41193</v>
      </c>
      <c r="F33" s="21">
        <v>65728</v>
      </c>
      <c r="G33" s="21">
        <v>111601</v>
      </c>
      <c r="H33" s="91">
        <v>160000</v>
      </c>
      <c r="I33" s="85"/>
    </row>
    <row r="34" spans="1:9" ht="15" customHeight="1">
      <c r="A34" s="85"/>
      <c r="B34" s="18" t="s">
        <v>68</v>
      </c>
      <c r="C34" s="85"/>
      <c r="D34" s="19">
        <v>10947</v>
      </c>
      <c r="E34" s="19">
        <v>9703</v>
      </c>
      <c r="F34" s="19">
        <v>8459</v>
      </c>
      <c r="G34" s="19">
        <v>8462</v>
      </c>
      <c r="H34" s="90">
        <v>8000</v>
      </c>
      <c r="I34" s="85"/>
    </row>
    <row r="35" spans="1:9" ht="15" customHeight="1">
      <c r="A35" s="85"/>
      <c r="B35" s="18" t="s">
        <v>69</v>
      </c>
      <c r="C35" s="85"/>
      <c r="D35" s="19">
        <v>17575</v>
      </c>
      <c r="E35" s="19">
        <v>19081</v>
      </c>
      <c r="F35" s="19">
        <v>22572</v>
      </c>
      <c r="G35" s="19">
        <v>30001</v>
      </c>
      <c r="H35" s="90">
        <v>35000</v>
      </c>
      <c r="I35" s="85"/>
    </row>
    <row r="36" spans="1:9" ht="15" customHeight="1">
      <c r="A36" s="85"/>
      <c r="B36" s="20" t="s">
        <v>70</v>
      </c>
      <c r="C36" s="85"/>
      <c r="D36" s="21">
        <v>26612</v>
      </c>
      <c r="E36" s="21">
        <v>22101</v>
      </c>
      <c r="F36" s="21">
        <v>42978</v>
      </c>
      <c r="G36" s="21">
        <v>81600</v>
      </c>
      <c r="H36" s="91">
        <v>125000</v>
      </c>
      <c r="I36" s="85"/>
    </row>
    <row r="38" spans="1:9" ht="15" customHeight="1">
      <c r="A38" s="120" t="s">
        <v>71</v>
      </c>
      <c r="B38" s="109"/>
      <c r="C38" s="109"/>
      <c r="D38" s="109"/>
      <c r="E38" s="109"/>
      <c r="F38" s="109"/>
      <c r="G38" s="109"/>
      <c r="H38" s="109"/>
      <c r="I38" s="109"/>
    </row>
    <row r="39" spans="1:9" ht="15" customHeight="1">
      <c r="A39" s="85"/>
      <c r="B39" s="17" t="s">
        <v>65</v>
      </c>
      <c r="C39" s="17"/>
      <c r="D39" s="17" t="s">
        <v>37</v>
      </c>
      <c r="E39" s="17" t="s">
        <v>38</v>
      </c>
      <c r="F39" s="17" t="s">
        <v>39</v>
      </c>
      <c r="G39" s="17" t="s">
        <v>40</v>
      </c>
      <c r="H39" s="17" t="s">
        <v>41</v>
      </c>
      <c r="I39" s="17"/>
    </row>
    <row r="40" spans="1:9" ht="15" customHeight="1">
      <c r="A40" s="85"/>
      <c r="B40" s="18" t="s">
        <v>72</v>
      </c>
      <c r="C40" s="85"/>
      <c r="D40" s="19">
        <v>9108</v>
      </c>
      <c r="E40" s="19">
        <v>5641</v>
      </c>
      <c r="F40" s="19">
        <v>28083</v>
      </c>
      <c r="G40" s="19">
        <v>64089</v>
      </c>
      <c r="H40" s="90">
        <v>90000</v>
      </c>
      <c r="I40" s="85"/>
    </row>
    <row r="41" spans="1:9" ht="15" customHeight="1">
      <c r="A41" s="85"/>
      <c r="B41" s="18" t="s">
        <v>73</v>
      </c>
      <c r="C41" s="85"/>
      <c r="D41" s="19">
        <v>-1833</v>
      </c>
      <c r="E41" s="19">
        <v>-1833</v>
      </c>
      <c r="F41" s="19">
        <v>-2161</v>
      </c>
      <c r="G41" s="19">
        <v>-3730</v>
      </c>
      <c r="H41" s="90">
        <v>-5000</v>
      </c>
      <c r="I41" s="85"/>
    </row>
    <row r="42" spans="1:9" ht="15" customHeight="1">
      <c r="A42" s="85"/>
      <c r="B42" s="20" t="s">
        <v>74</v>
      </c>
      <c r="C42" s="85"/>
      <c r="D42" s="21">
        <v>7275</v>
      </c>
      <c r="E42" s="21">
        <v>3808</v>
      </c>
      <c r="F42" s="21">
        <v>25922</v>
      </c>
      <c r="G42" s="21">
        <v>60359</v>
      </c>
      <c r="H42" s="91">
        <v>85000</v>
      </c>
      <c r="I42" s="85"/>
    </row>
    <row r="43" spans="1:9" ht="15" customHeight="1">
      <c r="A43" s="85"/>
      <c r="B43" s="18" t="s">
        <v>75</v>
      </c>
      <c r="C43" s="85"/>
      <c r="D43" s="19">
        <v>-5747</v>
      </c>
      <c r="E43" s="19">
        <v>-7281</v>
      </c>
      <c r="F43" s="19">
        <v>-12507</v>
      </c>
      <c r="G43" s="19">
        <v>-33773</v>
      </c>
      <c r="H43" s="90">
        <v>-40000</v>
      </c>
      <c r="I43" s="85"/>
    </row>
  </sheetData>
  <mergeCells count="6">
    <mergeCell ref="A38:I38"/>
    <mergeCell ref="A1:J1"/>
    <mergeCell ref="A25:I25"/>
    <mergeCell ref="A19:I19"/>
    <mergeCell ref="A30:I30"/>
    <mergeCell ref="A2:J2"/>
  </mergeCells>
  <printOptions horizontalCentered="1" verticalCentered="1" headings="1" gridLines="1"/>
  <pageMargins left="0.75" right="0.75" top="1" bottom="1" header="0.511811023622047" footer="0.511811023622047"/>
  <pageSetup paperSize="8" fitToWidth="0"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3"/>
  <sheetViews>
    <sheetView showGridLines="0" zoomScaleNormal="100" workbookViewId="0"/>
  </sheetViews>
  <sheetFormatPr defaultColWidth="8.7109375" defaultRowHeight="15"/>
  <cols>
    <col min="1" max="1" width="3" style="1" customWidth="1"/>
    <col min="2" max="2" width="28" style="1" customWidth="1"/>
    <col min="3" max="3" width="2" style="1" customWidth="1"/>
    <col min="4" max="9" width="14" style="1" customWidth="1"/>
    <col min="10" max="10" width="3" style="1" customWidth="1"/>
  </cols>
  <sheetData>
    <row r="1" spans="1:10" ht="31.5" customHeight="1">
      <c r="A1" s="127" t="s">
        <v>76</v>
      </c>
      <c r="B1" s="109"/>
      <c r="C1" s="109"/>
      <c r="D1" s="109"/>
      <c r="E1" s="109"/>
      <c r="F1" s="109"/>
      <c r="G1" s="109"/>
      <c r="H1" s="109"/>
      <c r="I1" s="109"/>
      <c r="J1" s="109"/>
    </row>
    <row r="2" spans="1:10" ht="18" customHeight="1">
      <c r="A2" s="129" t="s">
        <v>77</v>
      </c>
      <c r="B2" s="109"/>
      <c r="C2" s="109"/>
      <c r="D2" s="109"/>
      <c r="E2" s="109"/>
      <c r="F2" s="109"/>
      <c r="G2" s="109"/>
      <c r="H2" s="109"/>
      <c r="I2" s="109"/>
      <c r="J2" s="109"/>
    </row>
    <row r="4" spans="1:10" ht="19.5" customHeight="1">
      <c r="A4" s="85"/>
      <c r="B4" s="5" t="s">
        <v>36</v>
      </c>
      <c r="C4" s="85"/>
      <c r="D4" s="6" t="s">
        <v>37</v>
      </c>
      <c r="E4" s="6" t="s">
        <v>38</v>
      </c>
      <c r="F4" s="6" t="s">
        <v>39</v>
      </c>
      <c r="G4" s="6" t="s">
        <v>40</v>
      </c>
      <c r="H4" s="22" t="s">
        <v>41</v>
      </c>
      <c r="I4" s="85"/>
      <c r="J4" s="85"/>
    </row>
    <row r="5" spans="1:10" ht="15" customHeight="1">
      <c r="A5" s="85"/>
      <c r="B5" s="8" t="s">
        <v>42</v>
      </c>
      <c r="C5" s="85"/>
      <c r="D5" s="9">
        <v>23601</v>
      </c>
      <c r="E5" s="9">
        <v>22680</v>
      </c>
      <c r="F5" s="9">
        <v>25785</v>
      </c>
      <c r="G5" s="9">
        <v>29047</v>
      </c>
      <c r="H5" s="88">
        <v>38000</v>
      </c>
      <c r="I5" s="85"/>
      <c r="J5" s="85"/>
    </row>
    <row r="6" spans="1:10" ht="15" customHeight="1">
      <c r="A6" s="85"/>
      <c r="B6" s="2" t="s">
        <v>43</v>
      </c>
      <c r="C6" s="85"/>
      <c r="D6" s="10">
        <v>11550</v>
      </c>
      <c r="E6" s="10">
        <v>11532</v>
      </c>
      <c r="F6" s="10">
        <v>12330</v>
      </c>
      <c r="G6" s="10">
        <v>13700</v>
      </c>
      <c r="H6" s="94">
        <v>17500</v>
      </c>
      <c r="I6" s="85"/>
      <c r="J6" s="85"/>
    </row>
    <row r="7" spans="1:10" ht="15" customHeight="1">
      <c r="A7" s="85"/>
      <c r="B7" s="23" t="s">
        <v>44</v>
      </c>
      <c r="C7" s="85"/>
      <c r="D7" s="24">
        <f>D5-D6</f>
        <v>12051</v>
      </c>
      <c r="E7" s="24">
        <f>E5-E6</f>
        <v>11148</v>
      </c>
      <c r="F7" s="24">
        <f>F5-F6</f>
        <v>13455</v>
      </c>
      <c r="G7" s="24">
        <f>G5-G6</f>
        <v>15347</v>
      </c>
      <c r="H7" s="95">
        <f>H5-H6</f>
        <v>20500</v>
      </c>
      <c r="I7" s="85"/>
      <c r="J7" s="85"/>
    </row>
    <row r="8" spans="1:10" ht="15" customHeight="1">
      <c r="A8" s="85"/>
      <c r="B8" s="2" t="s">
        <v>45</v>
      </c>
      <c r="C8" s="85"/>
      <c r="D8" s="10">
        <v>5005</v>
      </c>
      <c r="E8" s="10">
        <v>5873</v>
      </c>
      <c r="F8" s="10">
        <v>6273</v>
      </c>
      <c r="G8" s="10">
        <v>6500</v>
      </c>
      <c r="H8" s="94">
        <v>7800</v>
      </c>
      <c r="I8" s="85"/>
      <c r="J8" s="85"/>
    </row>
    <row r="9" spans="1:10" ht="15" customHeight="1">
      <c r="A9" s="85"/>
      <c r="B9" s="2" t="s">
        <v>46</v>
      </c>
      <c r="C9" s="85"/>
      <c r="D9" s="10">
        <v>672</v>
      </c>
      <c r="E9" s="10">
        <v>612</v>
      </c>
      <c r="F9" s="10">
        <v>658</v>
      </c>
      <c r="G9" s="10">
        <v>700</v>
      </c>
      <c r="H9" s="94">
        <v>850</v>
      </c>
      <c r="I9" s="85"/>
      <c r="J9" s="85"/>
    </row>
    <row r="10" spans="1:10" ht="15" customHeight="1">
      <c r="A10" s="85"/>
      <c r="B10" s="2" t="s">
        <v>47</v>
      </c>
      <c r="C10" s="85"/>
      <c r="D10" s="10">
        <v>592</v>
      </c>
      <c r="E10" s="10">
        <v>576</v>
      </c>
      <c r="F10" s="10">
        <v>601</v>
      </c>
      <c r="G10" s="10">
        <v>620</v>
      </c>
      <c r="H10" s="94">
        <v>700</v>
      </c>
      <c r="I10" s="85"/>
      <c r="J10" s="85"/>
    </row>
    <row r="11" spans="1:10" ht="15" customHeight="1">
      <c r="A11" s="85"/>
      <c r="B11" s="25" t="s">
        <v>48</v>
      </c>
      <c r="C11" s="85"/>
      <c r="D11" s="26">
        <f>D8+D9+D10</f>
        <v>6269</v>
      </c>
      <c r="E11" s="26">
        <f>E8+E9+E10</f>
        <v>7061</v>
      </c>
      <c r="F11" s="26">
        <f>F8+F9+F10</f>
        <v>7532</v>
      </c>
      <c r="G11" s="26">
        <f>G8+G9+G10</f>
        <v>7820</v>
      </c>
      <c r="H11" s="96">
        <f>H8+H9+H10</f>
        <v>9350</v>
      </c>
      <c r="I11" s="85"/>
      <c r="J11" s="85"/>
    </row>
    <row r="12" spans="1:10" ht="15" customHeight="1">
      <c r="A12" s="85"/>
      <c r="B12" s="23" t="s">
        <v>49</v>
      </c>
      <c r="C12" s="85"/>
      <c r="D12" s="24">
        <f>D7-D11</f>
        <v>5782</v>
      </c>
      <c r="E12" s="24">
        <f>E7-E11</f>
        <v>4087</v>
      </c>
      <c r="F12" s="24">
        <f>F7-F11</f>
        <v>5923</v>
      </c>
      <c r="G12" s="24">
        <f>G7-G11</f>
        <v>7527</v>
      </c>
      <c r="H12" s="95">
        <f>H7-H11</f>
        <v>11150</v>
      </c>
      <c r="I12" s="85"/>
      <c r="J12" s="85"/>
    </row>
    <row r="13" spans="1:10" ht="15" customHeight="1">
      <c r="A13" s="85"/>
      <c r="B13" s="2" t="s">
        <v>50</v>
      </c>
      <c r="C13" s="85"/>
      <c r="D13" s="10">
        <v>-90</v>
      </c>
      <c r="E13" s="10">
        <v>-71</v>
      </c>
      <c r="F13" s="10">
        <v>42</v>
      </c>
      <c r="G13" s="10">
        <v>80</v>
      </c>
      <c r="H13" s="94">
        <v>120</v>
      </c>
      <c r="I13" s="85"/>
      <c r="J13" s="85"/>
    </row>
    <row r="14" spans="1:10" ht="15" customHeight="1">
      <c r="A14" s="85"/>
      <c r="B14" s="23" t="s">
        <v>51</v>
      </c>
      <c r="C14" s="85"/>
      <c r="D14" s="24">
        <f>D12+D5*0.025</f>
        <v>6372.0249999999996</v>
      </c>
      <c r="E14" s="24">
        <f>E12+E5*0.025</f>
        <v>4654</v>
      </c>
      <c r="F14" s="24">
        <f>F12+F5*0.025</f>
        <v>6567.625</v>
      </c>
      <c r="G14" s="24">
        <f>G12+G5*0.025</f>
        <v>8253.1749999999993</v>
      </c>
      <c r="H14" s="93">
        <f>H12+H5*0.025</f>
        <v>12100</v>
      </c>
      <c r="I14" s="85"/>
      <c r="J14" s="85"/>
    </row>
    <row r="15" spans="1:10" ht="15" customHeight="1">
      <c r="A15" s="85"/>
      <c r="B15" s="8" t="s">
        <v>52</v>
      </c>
      <c r="C15" s="85"/>
      <c r="D15" s="9">
        <f>D12+D13</f>
        <v>5692</v>
      </c>
      <c r="E15" s="9">
        <f>E12+E13</f>
        <v>4016</v>
      </c>
      <c r="F15" s="9">
        <f>F12+F13</f>
        <v>5965</v>
      </c>
      <c r="G15" s="9">
        <f>G12+G13</f>
        <v>7607</v>
      </c>
      <c r="H15" s="88">
        <f>H12+H13</f>
        <v>11270</v>
      </c>
      <c r="I15" s="85"/>
      <c r="J15" s="85"/>
    </row>
    <row r="16" spans="1:10" ht="15" customHeight="1">
      <c r="A16" s="85"/>
      <c r="B16" s="2" t="s">
        <v>53</v>
      </c>
      <c r="C16" s="85"/>
      <c r="D16" s="10">
        <f>MAX(D15*0.085,0)</f>
        <v>483.82000000000005</v>
      </c>
      <c r="E16" s="10">
        <f>MAX(E15*0.036,0)</f>
        <v>144.57599999999999</v>
      </c>
      <c r="F16" s="10">
        <f>MAX(F15*0.135,0)</f>
        <v>805.27500000000009</v>
      </c>
      <c r="G16" s="10">
        <f>MAX(G15*0.135,0)</f>
        <v>1026.9450000000002</v>
      </c>
      <c r="H16" s="94">
        <f>MAX(H15*0.135,0)</f>
        <v>1521.45</v>
      </c>
      <c r="I16" s="85"/>
      <c r="J16" s="85"/>
    </row>
    <row r="17" spans="1:9" ht="15" customHeight="1">
      <c r="A17" s="85"/>
      <c r="B17" s="23" t="s">
        <v>54</v>
      </c>
      <c r="C17" s="85"/>
      <c r="D17" s="24">
        <f>D15-D16</f>
        <v>5208.18</v>
      </c>
      <c r="E17" s="24">
        <f>E15-E16</f>
        <v>3871.424</v>
      </c>
      <c r="F17" s="24">
        <f>F15-F16</f>
        <v>5159.7250000000004</v>
      </c>
      <c r="G17" s="24">
        <f>G15-G16</f>
        <v>6580.0550000000003</v>
      </c>
      <c r="H17" s="24">
        <f>H15-H16</f>
        <v>9748.5499999999993</v>
      </c>
      <c r="I17" s="85"/>
    </row>
    <row r="19" spans="1:9" ht="15" customHeight="1">
      <c r="A19" s="128" t="s">
        <v>55</v>
      </c>
      <c r="B19" s="109"/>
      <c r="C19" s="109"/>
      <c r="D19" s="109"/>
      <c r="E19" s="109"/>
      <c r="F19" s="109"/>
      <c r="G19" s="109"/>
      <c r="H19" s="109"/>
      <c r="I19" s="109"/>
    </row>
    <row r="20" spans="1:9" ht="15" customHeight="1">
      <c r="A20" s="85"/>
      <c r="B20" s="15" t="s">
        <v>56</v>
      </c>
      <c r="C20" s="85"/>
      <c r="D20" s="27">
        <f>IF(D5=0,0,D7/D5)</f>
        <v>0.51061395703571888</v>
      </c>
      <c r="E20" s="27">
        <f>IF(E5=0,0,E7/E5)</f>
        <v>0.49153439153439155</v>
      </c>
      <c r="F20" s="27">
        <f>IF(F5=0,0,F7/F5)</f>
        <v>0.5218150087260035</v>
      </c>
      <c r="G20" s="27">
        <f>IF(G5=0,0,G7/G5)</f>
        <v>0.52835060419320412</v>
      </c>
      <c r="H20" s="27">
        <f>IF(H5=0,0,H7/H5)</f>
        <v>0.53947368421052633</v>
      </c>
      <c r="I20" s="85"/>
    </row>
    <row r="21" spans="1:9" ht="15" customHeight="1">
      <c r="A21" s="85"/>
      <c r="B21" s="15" t="s">
        <v>57</v>
      </c>
      <c r="C21" s="85"/>
      <c r="D21" s="27">
        <f>IF(D5=0,0,D12/D5)</f>
        <v>0.24498961908393713</v>
      </c>
      <c r="E21" s="27">
        <f>IF(E5=0,0,E12/E5)</f>
        <v>0.18020282186948855</v>
      </c>
      <c r="F21" s="27">
        <f>IF(F5=0,0,F12/F5)</f>
        <v>0.22970719410509988</v>
      </c>
      <c r="G21" s="27">
        <f>IF(G5=0,0,G12/G5)</f>
        <v>0.25913175198815713</v>
      </c>
      <c r="H21" s="27">
        <f>IF(H5=0,0,H12/H5)</f>
        <v>0.29342105263157897</v>
      </c>
      <c r="I21" s="85"/>
    </row>
    <row r="22" spans="1:9" ht="15" customHeight="1">
      <c r="A22" s="85"/>
      <c r="B22" s="15" t="s">
        <v>58</v>
      </c>
      <c r="C22" s="85"/>
      <c r="D22" s="27">
        <f>IF(D5=0,0,D14/D5)</f>
        <v>0.26998961908393709</v>
      </c>
      <c r="E22" s="27">
        <f>IF(E5=0,0,E14/E5)</f>
        <v>0.20520282186948854</v>
      </c>
      <c r="F22" s="27">
        <f>IF(F5=0,0,F14/F5)</f>
        <v>0.25470719410509984</v>
      </c>
      <c r="G22" s="27">
        <f>IF(G5=0,0,G14/G5)</f>
        <v>0.2841317519881571</v>
      </c>
      <c r="H22" s="27">
        <f>IF(H5=0,0,H14/H5)</f>
        <v>0.31842105263157894</v>
      </c>
      <c r="I22" s="85"/>
    </row>
    <row r="23" spans="1:9" ht="15" customHeight="1">
      <c r="A23" s="85"/>
      <c r="B23" s="15" t="s">
        <v>59</v>
      </c>
      <c r="C23" s="85"/>
      <c r="D23" s="27">
        <f>IF(D5=0,0,D17/D5)</f>
        <v>0.22067624253209611</v>
      </c>
      <c r="E23" s="27">
        <f>IF(E5=0,0,E17/E5)</f>
        <v>0.17069770723104055</v>
      </c>
      <c r="F23" s="27">
        <f>IF(F5=0,0,F17/F5)</f>
        <v>0.20010568159782821</v>
      </c>
      <c r="G23" s="27">
        <f>IF(G5=0,0,G17/G5)</f>
        <v>0.2265313113230282</v>
      </c>
      <c r="H23" s="27">
        <f>IF(H5=0,0,H17/H5)</f>
        <v>0.25654078947368419</v>
      </c>
      <c r="I23" s="85"/>
    </row>
    <row r="25" spans="1:9" ht="15" customHeight="1">
      <c r="A25" s="128" t="s">
        <v>60</v>
      </c>
      <c r="B25" s="109"/>
      <c r="C25" s="109"/>
      <c r="D25" s="109"/>
      <c r="E25" s="109"/>
      <c r="F25" s="109"/>
      <c r="G25" s="109"/>
      <c r="H25" s="109"/>
      <c r="I25" s="109"/>
    </row>
    <row r="26" spans="1:9" ht="15" customHeight="1">
      <c r="A26" s="85"/>
      <c r="B26" s="15" t="s">
        <v>61</v>
      </c>
      <c r="C26" s="85"/>
      <c r="D26" s="103" t="s">
        <v>62</v>
      </c>
      <c r="E26" s="27">
        <f>IF(D5=0,0,(E5-D5)/D5)</f>
        <v>-3.9023770179229693E-2</v>
      </c>
      <c r="F26" s="27">
        <f>IF(E5=0,0,(F5-E5)/E5)</f>
        <v>0.13690476190476192</v>
      </c>
      <c r="G26" s="27">
        <f>IF(F5=0,0,(G5-F5)/F5)</f>
        <v>0.1265076594919527</v>
      </c>
      <c r="H26" s="27">
        <f>IF(G5=0,0,(H5-G5)/G5)</f>
        <v>0.30822460150790099</v>
      </c>
      <c r="I26" s="85"/>
    </row>
    <row r="27" spans="1:9" ht="15" customHeight="1">
      <c r="A27" s="85"/>
      <c r="B27" s="15" t="s">
        <v>63</v>
      </c>
      <c r="C27" s="85"/>
      <c r="D27" s="103" t="s">
        <v>62</v>
      </c>
      <c r="E27" s="27">
        <f>IF(D17=0,0,(E17-D17)/D17)</f>
        <v>-0.25666470820900972</v>
      </c>
      <c r="F27" s="27">
        <f>IF(E17=0,0,(F17-E17)/E17)</f>
        <v>0.33277186895571254</v>
      </c>
      <c r="G27" s="27">
        <f>IF(F17=0,0,(G17-F17)/F17)</f>
        <v>0.2752724224643755</v>
      </c>
      <c r="H27" s="27">
        <f>IF(G17=0,0,(H17-G17)/G17)</f>
        <v>0.4815301695806492</v>
      </c>
      <c r="I27" s="85"/>
    </row>
    <row r="30" spans="1:9" ht="15" customHeight="1">
      <c r="A30" s="120" t="s">
        <v>64</v>
      </c>
      <c r="B30" s="109"/>
      <c r="C30" s="109"/>
      <c r="D30" s="109"/>
      <c r="E30" s="109"/>
      <c r="F30" s="109"/>
      <c r="G30" s="109"/>
      <c r="H30" s="109"/>
      <c r="I30" s="109"/>
    </row>
    <row r="31" spans="1:9" ht="15" customHeight="1">
      <c r="A31" s="85"/>
      <c r="B31" s="17" t="s">
        <v>65</v>
      </c>
      <c r="C31" s="17"/>
      <c r="D31" s="17" t="s">
        <v>37</v>
      </c>
      <c r="E31" s="17" t="s">
        <v>38</v>
      </c>
      <c r="F31" s="17" t="s">
        <v>39</v>
      </c>
      <c r="G31" s="17" t="s">
        <v>40</v>
      </c>
      <c r="H31" s="17" t="s">
        <v>41</v>
      </c>
      <c r="I31" s="17"/>
    </row>
    <row r="32" spans="1:9" ht="15" customHeight="1">
      <c r="A32" s="85"/>
      <c r="B32" s="18" t="s">
        <v>66</v>
      </c>
      <c r="C32" s="85"/>
      <c r="D32" s="19">
        <v>5852</v>
      </c>
      <c r="E32" s="19">
        <v>5762</v>
      </c>
      <c r="F32" s="19">
        <v>4543</v>
      </c>
      <c r="G32" s="19">
        <v>5100</v>
      </c>
      <c r="H32" s="90">
        <v>7500</v>
      </c>
      <c r="I32" s="85"/>
    </row>
    <row r="33" spans="1:9" ht="15" customHeight="1">
      <c r="A33" s="85"/>
      <c r="B33" s="20" t="s">
        <v>67</v>
      </c>
      <c r="C33" s="85"/>
      <c r="D33" s="21">
        <v>67874</v>
      </c>
      <c r="E33" s="21">
        <v>67885</v>
      </c>
      <c r="F33" s="21">
        <v>69327</v>
      </c>
      <c r="G33" s="21">
        <v>71000</v>
      </c>
      <c r="H33" s="91">
        <v>78000</v>
      </c>
      <c r="I33" s="85"/>
    </row>
    <row r="34" spans="1:9" ht="15" customHeight="1">
      <c r="A34" s="85"/>
      <c r="B34" s="18" t="s">
        <v>68</v>
      </c>
      <c r="C34" s="85"/>
      <c r="D34" s="19">
        <v>2467</v>
      </c>
      <c r="E34" s="19">
        <v>1724</v>
      </c>
      <c r="F34" s="19">
        <v>1719</v>
      </c>
      <c r="G34" s="19">
        <v>1700</v>
      </c>
      <c r="H34" s="90">
        <v>1500</v>
      </c>
      <c r="I34" s="85"/>
    </row>
    <row r="35" spans="1:9" ht="15" customHeight="1">
      <c r="A35" s="85"/>
      <c r="B35" s="18" t="s">
        <v>69</v>
      </c>
      <c r="C35" s="85"/>
      <c r="D35" s="19">
        <v>11180</v>
      </c>
      <c r="E35" s="19">
        <v>11763</v>
      </c>
      <c r="F35" s="19">
        <v>12013</v>
      </c>
      <c r="G35" s="19">
        <v>12500</v>
      </c>
      <c r="H35" s="90">
        <v>13000</v>
      </c>
      <c r="I35" s="85"/>
    </row>
    <row r="36" spans="1:9" ht="15" customHeight="1">
      <c r="A36" s="85"/>
      <c r="B36" s="20" t="s">
        <v>70</v>
      </c>
      <c r="C36" s="85"/>
      <c r="D36" s="21">
        <v>56694</v>
      </c>
      <c r="E36" s="21">
        <v>56122</v>
      </c>
      <c r="F36" s="21">
        <v>57314</v>
      </c>
      <c r="G36" s="21">
        <v>58500</v>
      </c>
      <c r="H36" s="91">
        <v>65000</v>
      </c>
      <c r="I36" s="85"/>
    </row>
    <row r="37" spans="1:9">
      <c r="A37" s="85"/>
      <c r="B37" s="85"/>
      <c r="C37" s="85"/>
      <c r="D37" s="85"/>
      <c r="E37" s="85"/>
      <c r="F37" s="85"/>
      <c r="G37" s="85"/>
      <c r="H37" s="97"/>
      <c r="I37" s="85"/>
    </row>
    <row r="38" spans="1:9" ht="15" customHeight="1">
      <c r="A38" s="120" t="s">
        <v>71</v>
      </c>
      <c r="B38" s="109"/>
      <c r="C38" s="109"/>
      <c r="D38" s="109"/>
      <c r="E38" s="109"/>
      <c r="F38" s="109"/>
      <c r="G38" s="109"/>
      <c r="H38" s="109"/>
      <c r="I38" s="109"/>
    </row>
    <row r="39" spans="1:9" ht="15" customHeight="1">
      <c r="A39" s="85"/>
      <c r="B39" s="17" t="s">
        <v>65</v>
      </c>
      <c r="C39" s="17"/>
      <c r="D39" s="17" t="s">
        <v>37</v>
      </c>
      <c r="E39" s="17" t="s">
        <v>38</v>
      </c>
      <c r="F39" s="17" t="s">
        <v>39</v>
      </c>
      <c r="G39" s="17" t="s">
        <v>40</v>
      </c>
      <c r="H39" s="17" t="s">
        <v>41</v>
      </c>
      <c r="I39" s="17"/>
    </row>
    <row r="40" spans="1:9" ht="15" customHeight="1">
      <c r="A40" s="85"/>
      <c r="B40" s="18" t="s">
        <v>72</v>
      </c>
      <c r="C40" s="85"/>
      <c r="D40" s="19">
        <v>3521</v>
      </c>
      <c r="E40" s="19">
        <v>1193</v>
      </c>
      <c r="F40" s="19">
        <v>1739</v>
      </c>
      <c r="G40" s="19">
        <v>2500</v>
      </c>
      <c r="H40" s="90">
        <v>4500</v>
      </c>
      <c r="I40" s="85"/>
    </row>
    <row r="41" spans="1:9" ht="15" customHeight="1">
      <c r="A41" s="85"/>
      <c r="B41" s="18" t="s">
        <v>73</v>
      </c>
      <c r="C41" s="85"/>
      <c r="D41" s="19">
        <v>-428</v>
      </c>
      <c r="E41" s="19">
        <v>-381</v>
      </c>
      <c r="F41" s="19">
        <v>-373</v>
      </c>
      <c r="G41" s="19">
        <v>-450</v>
      </c>
      <c r="H41" s="90">
        <v>-600</v>
      </c>
      <c r="I41" s="85"/>
    </row>
    <row r="42" spans="1:9" ht="15" customHeight="1">
      <c r="A42" s="85"/>
      <c r="B42" s="20" t="s">
        <v>74</v>
      </c>
      <c r="C42" s="85"/>
      <c r="D42" s="21">
        <v>3093</v>
      </c>
      <c r="E42" s="21">
        <v>812</v>
      </c>
      <c r="F42" s="21">
        <v>1366</v>
      </c>
      <c r="G42" s="21">
        <v>2050</v>
      </c>
      <c r="H42" s="91">
        <v>3900</v>
      </c>
      <c r="I42" s="85"/>
    </row>
    <row r="43" spans="1:9" ht="15" customHeight="1">
      <c r="A43" s="85"/>
      <c r="B43" s="18" t="s">
        <v>75</v>
      </c>
      <c r="C43" s="85"/>
      <c r="D43" s="19">
        <v>-2032</v>
      </c>
      <c r="E43" s="19">
        <v>-1260</v>
      </c>
      <c r="F43" s="19">
        <v>-1503</v>
      </c>
      <c r="G43" s="19">
        <v>-1800</v>
      </c>
      <c r="H43" s="90">
        <v>-2000</v>
      </c>
      <c r="I43" s="85"/>
    </row>
  </sheetData>
  <mergeCells count="6">
    <mergeCell ref="A38:I38"/>
    <mergeCell ref="A1:J1"/>
    <mergeCell ref="A25:I25"/>
    <mergeCell ref="A19:I19"/>
    <mergeCell ref="A30:I30"/>
    <mergeCell ref="A2:J2"/>
  </mergeCells>
  <printOptions horizontalCentered="1" verticalCentered="1" headings="1" gridLines="1"/>
  <pageMargins left="0.75" right="0.75" top="1" bottom="1" header="0.511811023622047" footer="0.511811023622047"/>
  <pageSetup paperSize="8" fitToWidth="0"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1"/>
  <sheetViews>
    <sheetView showGridLines="0" zoomScaleNormal="100" workbookViewId="0">
      <selection sqref="A1:I1"/>
    </sheetView>
  </sheetViews>
  <sheetFormatPr defaultColWidth="8.7109375" defaultRowHeight="15"/>
  <cols>
    <col min="1" max="1" width="3" style="1" customWidth="1"/>
    <col min="2" max="2" width="30" style="1" customWidth="1"/>
    <col min="3" max="3" width="2" style="1" customWidth="1"/>
    <col min="4" max="9" width="14" style="1" customWidth="1"/>
    <col min="10" max="10" width="3" style="1" customWidth="1"/>
  </cols>
  <sheetData>
    <row r="1" spans="1:9" ht="30" customHeight="1">
      <c r="A1" s="130" t="s">
        <v>78</v>
      </c>
      <c r="B1" s="109"/>
      <c r="C1" s="109"/>
      <c r="D1" s="109"/>
      <c r="E1" s="109"/>
      <c r="F1" s="109"/>
      <c r="G1" s="109"/>
      <c r="H1" s="109"/>
      <c r="I1" s="109"/>
    </row>
    <row r="3" spans="1:9" ht="15" customHeight="1">
      <c r="A3" s="131" t="s">
        <v>79</v>
      </c>
      <c r="B3" s="109"/>
      <c r="C3" s="109"/>
      <c r="D3" s="109"/>
      <c r="E3" s="109"/>
      <c r="F3" s="109"/>
      <c r="G3" s="109"/>
      <c r="H3" s="109"/>
      <c r="I3" s="109"/>
    </row>
    <row r="4" spans="1:9" ht="18" customHeight="1">
      <c r="A4" s="85"/>
      <c r="B4" s="28" t="s">
        <v>80</v>
      </c>
      <c r="C4" s="85"/>
      <c r="D4" s="29" t="s">
        <v>37</v>
      </c>
      <c r="E4" s="29" t="s">
        <v>38</v>
      </c>
      <c r="F4" s="29" t="s">
        <v>39</v>
      </c>
      <c r="G4" s="29" t="s">
        <v>40</v>
      </c>
      <c r="H4" s="30" t="s">
        <v>41</v>
      </c>
      <c r="I4" s="85"/>
    </row>
    <row r="5" spans="1:9" ht="15" customHeight="1">
      <c r="A5" s="85"/>
      <c r="B5" s="2" t="s">
        <v>81</v>
      </c>
      <c r="C5" s="85"/>
      <c r="D5" s="31">
        <v>0.35070966783086899</v>
      </c>
      <c r="E5" s="31">
        <v>0.430711055090087</v>
      </c>
      <c r="F5" s="31">
        <v>0.27282426709563101</v>
      </c>
      <c r="G5" s="31">
        <v>0.28842808646942097</v>
      </c>
      <c r="H5" s="98">
        <v>0.27979274611399002</v>
      </c>
      <c r="I5" s="85"/>
    </row>
    <row r="6" spans="1:9" ht="15" customHeight="1">
      <c r="A6" s="85"/>
      <c r="B6" s="2" t="s">
        <v>82</v>
      </c>
      <c r="C6" s="85"/>
      <c r="D6" s="31">
        <v>0.19573456193802499</v>
      </c>
      <c r="E6" s="31">
        <v>0.27207681471046202</v>
      </c>
      <c r="F6" s="31">
        <v>0.142395193854437</v>
      </c>
      <c r="G6" s="31">
        <v>9.8960129351632606E-2</v>
      </c>
      <c r="H6" s="98">
        <v>8.8082901554404097E-2</v>
      </c>
      <c r="I6" s="85"/>
    </row>
    <row r="7" spans="1:9" ht="15" customHeight="1">
      <c r="A7" s="85"/>
      <c r="B7" s="2" t="s">
        <v>83</v>
      </c>
      <c r="C7" s="85"/>
      <c r="D7" s="31">
        <v>3.3179757746897499E-2</v>
      </c>
      <c r="E7" s="31">
        <v>3.0844516942240701E-2</v>
      </c>
      <c r="F7" s="31">
        <v>1.4855060569252501E-2</v>
      </c>
      <c r="G7" s="31">
        <v>9.8086546050867099E-3</v>
      </c>
      <c r="H7" s="98">
        <v>8.8082901554404104E-3</v>
      </c>
      <c r="I7" s="85"/>
    </row>
    <row r="8" spans="1:9" ht="15" customHeight="1">
      <c r="A8" s="85"/>
      <c r="B8" s="2" t="s">
        <v>84</v>
      </c>
      <c r="C8" s="85"/>
      <c r="D8" s="31">
        <v>2.5860147135319901E-2</v>
      </c>
      <c r="E8" s="31">
        <v>2.7841625268777301E-2</v>
      </c>
      <c r="F8" s="31">
        <v>1.4625258527297199E-2</v>
      </c>
      <c r="G8" s="31">
        <v>7.8239346498386892E-3</v>
      </c>
      <c r="H8" s="98">
        <v>6.7357512953367896E-3</v>
      </c>
      <c r="I8" s="85"/>
    </row>
    <row r="9" spans="1:9" ht="15" customHeight="1">
      <c r="A9" s="85"/>
      <c r="B9" s="11" t="s">
        <v>56</v>
      </c>
      <c r="C9" s="85"/>
      <c r="D9" s="32">
        <v>0.64929033216913101</v>
      </c>
      <c r="E9" s="32">
        <v>0.569288944909913</v>
      </c>
      <c r="F9" s="32">
        <v>0.72717573290436999</v>
      </c>
      <c r="G9" s="32">
        <v>0.71157191353057903</v>
      </c>
      <c r="H9" s="99">
        <v>0.72020725388601003</v>
      </c>
      <c r="I9" s="85"/>
    </row>
    <row r="10" spans="1:9" ht="15" customHeight="1">
      <c r="A10" s="85"/>
      <c r="B10" s="11" t="s">
        <v>57</v>
      </c>
      <c r="C10" s="85"/>
      <c r="D10" s="32">
        <v>0.39451586534888899</v>
      </c>
      <c r="E10" s="32">
        <v>0.238525987988433</v>
      </c>
      <c r="F10" s="32">
        <v>0.55530021995338297</v>
      </c>
      <c r="G10" s="32">
        <v>0.59497919492402096</v>
      </c>
      <c r="H10" s="99">
        <v>0.61658031088082899</v>
      </c>
      <c r="I10" s="85"/>
    </row>
    <row r="11" spans="1:9" ht="15" customHeight="1">
      <c r="A11" s="85"/>
      <c r="B11" s="11" t="s">
        <v>59</v>
      </c>
      <c r="C11" s="85"/>
      <c r="D11" s="32">
        <v>0.390521661588764</v>
      </c>
      <c r="E11" s="32">
        <v>0.21615088603840699</v>
      </c>
      <c r="F11" s="32">
        <v>0.49889524309773198</v>
      </c>
      <c r="G11" s="32">
        <v>0.53135221499344798</v>
      </c>
      <c r="H11" s="99">
        <v>0.54769430051813495</v>
      </c>
      <c r="I11" s="85"/>
    </row>
    <row r="13" spans="1:9" ht="15" customHeight="1">
      <c r="A13" s="128" t="s">
        <v>85</v>
      </c>
      <c r="B13" s="109"/>
      <c r="C13" s="109"/>
      <c r="D13" s="109"/>
      <c r="E13" s="109"/>
      <c r="F13" s="109"/>
      <c r="G13" s="109"/>
      <c r="H13" s="109"/>
      <c r="I13" s="109"/>
    </row>
    <row r="14" spans="1:9" ht="18" customHeight="1">
      <c r="A14" s="85"/>
      <c r="B14" s="28" t="s">
        <v>80</v>
      </c>
      <c r="C14" s="85"/>
      <c r="D14" s="29" t="s">
        <v>37</v>
      </c>
      <c r="E14" s="29" t="s">
        <v>38</v>
      </c>
      <c r="F14" s="29" t="s">
        <v>39</v>
      </c>
      <c r="G14" s="29" t="s">
        <v>40</v>
      </c>
      <c r="H14" s="33" t="s">
        <v>41</v>
      </c>
      <c r="I14" s="85"/>
    </row>
    <row r="15" spans="1:9" ht="15" customHeight="1">
      <c r="A15" s="85"/>
      <c r="B15" s="2" t="s">
        <v>81</v>
      </c>
      <c r="C15" s="85"/>
      <c r="D15" s="34">
        <v>0.48938604296428101</v>
      </c>
      <c r="E15" s="34">
        <v>0.50846560846560895</v>
      </c>
      <c r="F15" s="34">
        <v>0.478184991273997</v>
      </c>
      <c r="G15" s="34">
        <v>0.47164939580679599</v>
      </c>
      <c r="H15" s="98">
        <v>0.46052631578947401</v>
      </c>
      <c r="I15" s="85"/>
    </row>
    <row r="16" spans="1:9" ht="15" customHeight="1">
      <c r="A16" s="85"/>
      <c r="B16" s="2" t="s">
        <v>82</v>
      </c>
      <c r="C16" s="85"/>
      <c r="D16" s="34">
        <v>0.21206728528452201</v>
      </c>
      <c r="E16" s="34">
        <v>0.25895061728395102</v>
      </c>
      <c r="F16" s="34">
        <v>0.24328097731239101</v>
      </c>
      <c r="G16" s="34">
        <v>0.22377526078424601</v>
      </c>
      <c r="H16" s="98">
        <v>0.20526315789473701</v>
      </c>
      <c r="I16" s="85"/>
    </row>
    <row r="17" spans="1:9" ht="15" customHeight="1">
      <c r="A17" s="85"/>
      <c r="B17" s="2" t="s">
        <v>83</v>
      </c>
      <c r="C17" s="85"/>
      <c r="D17" s="34">
        <v>2.84733697724673E-2</v>
      </c>
      <c r="E17" s="34">
        <v>2.6984126984126999E-2</v>
      </c>
      <c r="F17" s="34">
        <v>2.5518712429707199E-2</v>
      </c>
      <c r="G17" s="34">
        <v>2.4098874238303401E-2</v>
      </c>
      <c r="H17" s="98">
        <v>2.23684210526316E-2</v>
      </c>
      <c r="I17" s="85"/>
    </row>
    <row r="18" spans="1:9" ht="15" customHeight="1">
      <c r="A18" s="85"/>
      <c r="B18" s="2" t="s">
        <v>84</v>
      </c>
      <c r="C18" s="85"/>
      <c r="D18" s="34">
        <v>2.5083682894792601E-2</v>
      </c>
      <c r="E18" s="34">
        <v>2.53968253968254E-2</v>
      </c>
      <c r="F18" s="34">
        <v>2.33081248788055E-2</v>
      </c>
      <c r="G18" s="34">
        <v>2.1344717182497301E-2</v>
      </c>
      <c r="H18" s="98">
        <v>1.8421052631579001E-2</v>
      </c>
      <c r="I18" s="85"/>
    </row>
    <row r="19" spans="1:9" ht="15" customHeight="1">
      <c r="A19" s="85"/>
      <c r="B19" s="23" t="s">
        <v>56</v>
      </c>
      <c r="C19" s="85"/>
      <c r="D19" s="35">
        <v>0.51061395703571899</v>
      </c>
      <c r="E19" s="35">
        <v>0.49153439153439199</v>
      </c>
      <c r="F19" s="35">
        <v>0.52181500872600395</v>
      </c>
      <c r="G19" s="35">
        <v>0.52835060419320401</v>
      </c>
      <c r="H19" s="100">
        <v>0.53947368421052599</v>
      </c>
      <c r="I19" s="85"/>
    </row>
    <row r="20" spans="1:9" ht="15" customHeight="1">
      <c r="A20" s="85"/>
      <c r="B20" s="23" t="s">
        <v>57</v>
      </c>
      <c r="C20" s="85"/>
      <c r="D20" s="35">
        <v>0.24498961908393699</v>
      </c>
      <c r="E20" s="35">
        <v>0.18020282186948899</v>
      </c>
      <c r="F20" s="35">
        <v>0.22970719410509999</v>
      </c>
      <c r="G20" s="35">
        <v>0.25913175198815702</v>
      </c>
      <c r="H20" s="100">
        <v>0.29342105263157903</v>
      </c>
      <c r="I20" s="85"/>
    </row>
    <row r="21" spans="1:9" ht="15" customHeight="1">
      <c r="A21" s="85"/>
      <c r="B21" s="23" t="s">
        <v>59</v>
      </c>
      <c r="C21" s="85"/>
      <c r="D21" s="35">
        <v>0.220676242532096</v>
      </c>
      <c r="E21" s="35">
        <v>0.170697707231041</v>
      </c>
      <c r="F21" s="35">
        <v>0.20010568159782799</v>
      </c>
      <c r="G21" s="35">
        <v>0.22653131132302801</v>
      </c>
      <c r="H21" s="100">
        <v>0.25654078947368403</v>
      </c>
      <c r="I21" s="85"/>
    </row>
    <row r="24" spans="1:9" ht="15" customHeight="1">
      <c r="A24" s="132" t="s">
        <v>86</v>
      </c>
      <c r="B24" s="109"/>
      <c r="C24" s="109"/>
      <c r="D24" s="109"/>
      <c r="E24" s="109"/>
      <c r="F24" s="109"/>
      <c r="G24" s="109"/>
      <c r="H24" s="109"/>
      <c r="I24" s="109"/>
    </row>
    <row r="25" spans="1:9" ht="15" customHeight="1">
      <c r="A25" s="85"/>
      <c r="B25" s="28" t="s">
        <v>87</v>
      </c>
      <c r="C25" s="85"/>
      <c r="D25" s="30" t="s">
        <v>88</v>
      </c>
      <c r="E25" s="33" t="s">
        <v>89</v>
      </c>
      <c r="F25" s="29" t="s">
        <v>90</v>
      </c>
      <c r="G25" s="85"/>
      <c r="H25" s="85"/>
      <c r="I25" s="85"/>
    </row>
    <row r="26" spans="1:9" ht="15" customHeight="1">
      <c r="A26" s="85"/>
      <c r="B26" s="36" t="s">
        <v>91</v>
      </c>
      <c r="C26" s="85"/>
      <c r="D26" s="37" t="s">
        <v>92</v>
      </c>
      <c r="E26" s="38" t="s">
        <v>93</v>
      </c>
      <c r="F26" s="30" t="s">
        <v>94</v>
      </c>
      <c r="G26" s="85"/>
      <c r="H26" s="85"/>
      <c r="I26" s="85"/>
    </row>
    <row r="27" spans="1:9" ht="15" customHeight="1">
      <c r="A27" s="85"/>
      <c r="B27" s="2" t="s">
        <v>56</v>
      </c>
      <c r="C27" s="85"/>
      <c r="D27" s="37" t="s">
        <v>95</v>
      </c>
      <c r="E27" s="38" t="s">
        <v>96</v>
      </c>
      <c r="F27" s="30" t="s">
        <v>94</v>
      </c>
      <c r="G27" s="85"/>
      <c r="H27" s="85"/>
      <c r="I27" s="85"/>
    </row>
    <row r="28" spans="1:9" ht="15" customHeight="1">
      <c r="A28" s="85"/>
      <c r="B28" s="36" t="s">
        <v>57</v>
      </c>
      <c r="C28" s="85"/>
      <c r="D28" s="37" t="s">
        <v>97</v>
      </c>
      <c r="E28" s="38" t="s">
        <v>98</v>
      </c>
      <c r="F28" s="30" t="s">
        <v>94</v>
      </c>
      <c r="G28" s="85"/>
      <c r="H28" s="85"/>
      <c r="I28" s="85"/>
    </row>
    <row r="29" spans="1:9" ht="15" customHeight="1">
      <c r="A29" s="85"/>
      <c r="B29" s="2" t="s">
        <v>99</v>
      </c>
      <c r="C29" s="85"/>
      <c r="D29" s="37" t="s">
        <v>100</v>
      </c>
      <c r="E29" s="38" t="s">
        <v>101</v>
      </c>
      <c r="F29" s="33" t="s">
        <v>89</v>
      </c>
      <c r="G29" s="85"/>
      <c r="H29" s="85"/>
      <c r="I29" s="85"/>
    </row>
    <row r="30" spans="1:9" ht="15" customHeight="1">
      <c r="A30" s="85"/>
      <c r="B30" s="36" t="s">
        <v>102</v>
      </c>
      <c r="C30" s="85"/>
      <c r="D30" s="37" t="s">
        <v>103</v>
      </c>
      <c r="E30" s="38" t="s">
        <v>104</v>
      </c>
      <c r="F30" s="30" t="s">
        <v>94</v>
      </c>
      <c r="G30" s="85"/>
      <c r="H30" s="85"/>
      <c r="I30" s="85"/>
    </row>
    <row r="31" spans="1:9" ht="15" customHeight="1">
      <c r="A31" s="85"/>
      <c r="B31" s="2" t="s">
        <v>105</v>
      </c>
      <c r="C31" s="85"/>
      <c r="D31" s="37" t="s">
        <v>106</v>
      </c>
      <c r="E31" s="38" t="s">
        <v>107</v>
      </c>
      <c r="F31" s="30" t="s">
        <v>94</v>
      </c>
      <c r="G31" s="85"/>
      <c r="H31" s="85"/>
      <c r="I31" s="85"/>
    </row>
  </sheetData>
  <mergeCells count="4">
    <mergeCell ref="A1:I1"/>
    <mergeCell ref="A3:I3"/>
    <mergeCell ref="A13:I13"/>
    <mergeCell ref="A24:I24"/>
  </mergeCells>
  <printOptions horizontalCentered="1" verticalCentered="1" headings="1" gridLines="1"/>
  <pageMargins left="0.75" right="0.75" top="1" bottom="1" header="0.511811023622047" footer="0.511811023622047"/>
  <pageSetup paperSize="8" fitToWidth="0"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6"/>
  <sheetViews>
    <sheetView showGridLines="0" zoomScaleNormal="100" workbookViewId="0"/>
  </sheetViews>
  <sheetFormatPr defaultColWidth="8.7109375" defaultRowHeight="15"/>
  <cols>
    <col min="1" max="1" width="3" style="1" customWidth="1"/>
    <col min="2" max="2" width="32" style="1" customWidth="1"/>
    <col min="3" max="3" width="2" style="1" customWidth="1"/>
    <col min="4" max="10" width="14" style="1" customWidth="1"/>
    <col min="11" max="11" width="3" style="1" customWidth="1"/>
  </cols>
  <sheetData>
    <row r="1" spans="1:11" ht="30" customHeight="1">
      <c r="A1" s="130" t="s">
        <v>108</v>
      </c>
      <c r="B1" s="109"/>
      <c r="C1" s="109"/>
      <c r="D1" s="109"/>
      <c r="E1" s="109"/>
      <c r="F1" s="109"/>
      <c r="G1" s="109"/>
      <c r="H1" s="109"/>
      <c r="I1" s="109"/>
      <c r="J1" s="109"/>
      <c r="K1" s="109"/>
    </row>
    <row r="3" spans="1:11" ht="15" customHeight="1">
      <c r="A3" s="131" t="s">
        <v>109</v>
      </c>
      <c r="B3" s="109"/>
      <c r="C3" s="109"/>
      <c r="D3" s="109"/>
      <c r="E3" s="109"/>
      <c r="F3" s="109"/>
      <c r="G3" s="109"/>
      <c r="H3" s="109"/>
      <c r="I3" s="109"/>
      <c r="J3" s="109"/>
      <c r="K3" s="109"/>
    </row>
    <row r="4" spans="1:11" ht="15" customHeight="1">
      <c r="A4" s="126" t="s">
        <v>110</v>
      </c>
      <c r="B4" s="109"/>
      <c r="C4" s="109"/>
      <c r="D4" s="109"/>
      <c r="E4" s="109"/>
      <c r="F4" s="85"/>
      <c r="G4" s="85"/>
      <c r="H4" s="85"/>
      <c r="I4" s="85"/>
      <c r="J4" s="85"/>
      <c r="K4" s="85"/>
    </row>
    <row r="5" spans="1:11" ht="15" customHeight="1">
      <c r="A5" s="85"/>
      <c r="B5" s="39" t="s">
        <v>111</v>
      </c>
      <c r="C5" s="85"/>
      <c r="D5" s="40">
        <v>8.5000000000000006E-2</v>
      </c>
      <c r="E5" s="85"/>
      <c r="F5" s="85"/>
      <c r="G5" s="85"/>
      <c r="H5" s="85"/>
      <c r="I5" s="85"/>
      <c r="J5" s="85"/>
      <c r="K5" s="85"/>
    </row>
    <row r="6" spans="1:11" ht="15" customHeight="1">
      <c r="A6" s="85"/>
      <c r="B6" s="39" t="s">
        <v>112</v>
      </c>
      <c r="C6" s="85"/>
      <c r="D6" s="40">
        <v>3.5000000000000003E-2</v>
      </c>
      <c r="E6" s="85"/>
      <c r="F6" s="85"/>
      <c r="G6" s="85"/>
      <c r="H6" s="85"/>
      <c r="I6" s="85"/>
      <c r="J6" s="85"/>
      <c r="K6" s="85"/>
    </row>
    <row r="7" spans="1:11" ht="15" customHeight="1">
      <c r="A7" s="85"/>
      <c r="B7" s="39" t="s">
        <v>113</v>
      </c>
      <c r="C7" s="85"/>
      <c r="D7" s="40">
        <v>0.35</v>
      </c>
      <c r="E7" s="85"/>
      <c r="F7" s="85"/>
      <c r="G7" s="85"/>
      <c r="H7" s="85"/>
      <c r="I7" s="85"/>
      <c r="J7" s="85"/>
      <c r="K7" s="85"/>
    </row>
    <row r="8" spans="1:11" ht="15" customHeight="1">
      <c r="A8" s="85"/>
      <c r="B8" s="39" t="s">
        <v>114</v>
      </c>
      <c r="C8" s="85"/>
      <c r="D8" s="40">
        <v>0.25</v>
      </c>
      <c r="E8" s="85"/>
      <c r="F8" s="85"/>
      <c r="G8" s="85"/>
      <c r="H8" s="85"/>
      <c r="I8" s="85"/>
      <c r="J8" s="85"/>
      <c r="K8" s="85"/>
    </row>
    <row r="9" spans="1:11" ht="15" customHeight="1">
      <c r="A9" s="85"/>
      <c r="B9" s="39" t="s">
        <v>115</v>
      </c>
      <c r="C9" s="85"/>
      <c r="D9" s="40">
        <v>0.18</v>
      </c>
      <c r="E9" s="85"/>
      <c r="F9" s="85"/>
      <c r="G9" s="85"/>
      <c r="H9" s="85"/>
      <c r="I9" s="85"/>
      <c r="J9" s="85"/>
      <c r="K9" s="85"/>
    </row>
    <row r="10" spans="1:11" ht="15" customHeight="1">
      <c r="A10" s="85"/>
      <c r="B10" s="39" t="s">
        <v>116</v>
      </c>
      <c r="C10" s="85"/>
      <c r="D10" s="40">
        <v>0.42</v>
      </c>
      <c r="E10" s="85"/>
      <c r="F10" s="85"/>
      <c r="G10" s="85"/>
      <c r="H10" s="85"/>
      <c r="I10" s="85"/>
      <c r="J10" s="85"/>
      <c r="K10" s="85"/>
    </row>
    <row r="11" spans="1:11" ht="15" customHeight="1">
      <c r="A11" s="85"/>
      <c r="B11" s="39" t="s">
        <v>117</v>
      </c>
      <c r="C11" s="85"/>
      <c r="D11" s="41">
        <v>24440</v>
      </c>
      <c r="E11" s="85"/>
      <c r="F11" s="85"/>
      <c r="G11" s="85"/>
      <c r="H11" s="85"/>
      <c r="I11" s="85"/>
      <c r="J11" s="85"/>
      <c r="K11" s="85"/>
    </row>
    <row r="12" spans="1:11" ht="15" customHeight="1">
      <c r="A12" s="85"/>
      <c r="B12" s="39" t="s">
        <v>118</v>
      </c>
      <c r="C12" s="85"/>
      <c r="D12" s="41">
        <v>-34748</v>
      </c>
      <c r="E12" s="85"/>
      <c r="F12" s="85"/>
      <c r="G12" s="85"/>
      <c r="H12" s="85"/>
      <c r="I12" s="85"/>
      <c r="J12" s="85"/>
      <c r="K12" s="85"/>
    </row>
    <row r="14" spans="1:11" ht="15" customHeight="1">
      <c r="A14" s="133" t="s">
        <v>119</v>
      </c>
      <c r="B14" s="109"/>
      <c r="C14" s="109"/>
      <c r="D14" s="109"/>
      <c r="E14" s="109"/>
      <c r="F14" s="109"/>
      <c r="G14" s="109"/>
      <c r="H14" s="109"/>
      <c r="I14" s="109"/>
      <c r="J14" s="109"/>
      <c r="K14" s="109"/>
    </row>
    <row r="15" spans="1:11" ht="18" customHeight="1">
      <c r="A15" s="85"/>
      <c r="B15" s="5" t="s">
        <v>65</v>
      </c>
      <c r="C15" s="85"/>
      <c r="D15" s="30" t="s">
        <v>41</v>
      </c>
      <c r="E15" s="30" t="s">
        <v>120</v>
      </c>
      <c r="F15" s="30" t="s">
        <v>121</v>
      </c>
      <c r="G15" s="30" t="s">
        <v>122</v>
      </c>
      <c r="H15" s="30" t="s">
        <v>123</v>
      </c>
      <c r="I15" s="85"/>
      <c r="J15" s="85"/>
      <c r="K15" s="85"/>
    </row>
    <row r="16" spans="1:11" ht="15" customHeight="1">
      <c r="A16" s="85"/>
      <c r="B16" s="20" t="s">
        <v>42</v>
      </c>
      <c r="C16" s="85"/>
      <c r="D16" s="92">
        <v>193000</v>
      </c>
      <c r="E16" s="21">
        <f>D16*(1+D7)</f>
        <v>260550.00000000003</v>
      </c>
      <c r="F16" s="21">
        <f>E16*(1+D8)</f>
        <v>325687.50000000006</v>
      </c>
      <c r="G16" s="21">
        <f>F16*(1+D9)</f>
        <v>384311.25000000006</v>
      </c>
      <c r="H16" s="21">
        <f>G16*1.12</f>
        <v>430428.60000000009</v>
      </c>
      <c r="I16" s="85"/>
      <c r="J16" s="85"/>
      <c r="K16" s="85"/>
    </row>
    <row r="17" spans="1:11" ht="15" customHeight="1">
      <c r="A17" s="85"/>
      <c r="B17" s="11" t="s">
        <v>74</v>
      </c>
      <c r="C17" s="85"/>
      <c r="D17" s="12">
        <f>D16*D10</f>
        <v>81060</v>
      </c>
      <c r="E17" s="12">
        <f>E16*D10</f>
        <v>109431.00000000001</v>
      </c>
      <c r="F17" s="12">
        <f>F16*D10</f>
        <v>136788.75000000003</v>
      </c>
      <c r="G17" s="12">
        <f>G16*D10</f>
        <v>161410.72500000001</v>
      </c>
      <c r="H17" s="12">
        <f>H16*D10</f>
        <v>180780.01200000005</v>
      </c>
      <c r="I17" s="85"/>
      <c r="J17" s="85"/>
      <c r="K17" s="85"/>
    </row>
    <row r="18" spans="1:11" ht="15" customHeight="1">
      <c r="A18" s="85"/>
      <c r="B18" s="18" t="s">
        <v>124</v>
      </c>
      <c r="C18" s="85"/>
      <c r="D18" s="42">
        <f>1/(1+D5)^1</f>
        <v>0.92165898617511521</v>
      </c>
      <c r="E18" s="42">
        <f>1/(1+D5)^2</f>
        <v>0.84945528679734128</v>
      </c>
      <c r="F18" s="42">
        <f>1/(1+D5)^3</f>
        <v>0.78290809843072917</v>
      </c>
      <c r="G18" s="42">
        <f>1/(1+D5)^4</f>
        <v>0.72157428426795334</v>
      </c>
      <c r="H18" s="42">
        <f>1/(1+D5)^5</f>
        <v>0.66504542328843619</v>
      </c>
      <c r="I18" s="85"/>
      <c r="J18" s="85"/>
      <c r="K18" s="85"/>
    </row>
    <row r="19" spans="1:11" ht="15" customHeight="1">
      <c r="A19" s="85"/>
      <c r="B19" s="43" t="s">
        <v>125</v>
      </c>
      <c r="C19" s="85"/>
      <c r="D19" s="44">
        <f>D17*D18</f>
        <v>74709.677419354834</v>
      </c>
      <c r="E19" s="44">
        <f>E17*E18</f>
        <v>92956.74148951986</v>
      </c>
      <c r="F19" s="44">
        <f>F17*F18</f>
        <v>107093.02014921643</v>
      </c>
      <c r="G19" s="44">
        <f>G17*G18</f>
        <v>116469.82836504644</v>
      </c>
      <c r="H19" s="44">
        <f>H17*H18</f>
        <v>120226.91960262861</v>
      </c>
      <c r="I19" s="85"/>
      <c r="J19" s="85"/>
      <c r="K19" s="85"/>
    </row>
    <row r="21" spans="1:11" ht="15" customHeight="1">
      <c r="A21" s="85"/>
      <c r="B21" s="11" t="s">
        <v>126</v>
      </c>
      <c r="C21" s="85"/>
      <c r="D21" s="12">
        <f>SUM(D19:H19)</f>
        <v>511456.18702576618</v>
      </c>
      <c r="E21" s="85"/>
      <c r="F21" s="85"/>
      <c r="G21" s="85"/>
      <c r="H21" s="85"/>
      <c r="I21" s="85"/>
      <c r="J21" s="85"/>
      <c r="K21" s="85"/>
    </row>
    <row r="22" spans="1:11" ht="15" customHeight="1">
      <c r="A22" s="85"/>
      <c r="B22" s="18" t="s">
        <v>127</v>
      </c>
      <c r="C22" s="85"/>
      <c r="D22" s="45">
        <f>(H17*(1+D6))/(D5-D6)</f>
        <v>3742146.2484000004</v>
      </c>
      <c r="E22" s="85"/>
      <c r="F22" s="85"/>
      <c r="G22" s="85"/>
      <c r="H22" s="85"/>
      <c r="I22" s="85"/>
      <c r="J22" s="85"/>
      <c r="K22" s="85"/>
    </row>
    <row r="23" spans="1:11" ht="15" customHeight="1">
      <c r="A23" s="85"/>
      <c r="B23" s="13" t="s">
        <v>128</v>
      </c>
      <c r="C23" s="85"/>
      <c r="D23" s="46">
        <f>D22/(1+D5)^5</f>
        <v>2488697.2357744118</v>
      </c>
      <c r="E23" s="85"/>
      <c r="F23" s="85"/>
      <c r="G23" s="85"/>
      <c r="H23" s="85"/>
      <c r="I23" s="85"/>
      <c r="J23" s="85"/>
      <c r="K23" s="85"/>
    </row>
    <row r="24" spans="1:11" ht="15" customHeight="1">
      <c r="A24" s="85"/>
      <c r="B24" s="47" t="s">
        <v>129</v>
      </c>
      <c r="C24" s="85"/>
      <c r="D24" s="48">
        <f>D21+D23</f>
        <v>3000153.4228001782</v>
      </c>
      <c r="E24" s="85"/>
      <c r="F24" s="85"/>
      <c r="G24" s="85"/>
      <c r="H24" s="85"/>
      <c r="I24" s="85"/>
      <c r="J24" s="85"/>
      <c r="K24" s="85"/>
    </row>
    <row r="25" spans="1:11" ht="15" customHeight="1">
      <c r="A25" s="85"/>
      <c r="B25" s="18" t="s">
        <v>130</v>
      </c>
      <c r="C25" s="85"/>
      <c r="D25" s="45">
        <f>D12</f>
        <v>-34748</v>
      </c>
      <c r="E25" s="85"/>
      <c r="F25" s="85"/>
      <c r="G25" s="85"/>
      <c r="H25" s="85"/>
      <c r="I25" s="85"/>
      <c r="J25" s="85"/>
      <c r="K25" s="85"/>
    </row>
    <row r="26" spans="1:11" ht="15" customHeight="1">
      <c r="A26" s="85"/>
      <c r="B26" s="49" t="s">
        <v>131</v>
      </c>
      <c r="C26" s="85"/>
      <c r="D26" s="50">
        <f>D24-D25</f>
        <v>3034901.4228001782</v>
      </c>
      <c r="E26" s="85"/>
      <c r="F26" s="85"/>
      <c r="G26" s="85"/>
      <c r="H26" s="85"/>
      <c r="I26" s="85"/>
      <c r="J26" s="85"/>
      <c r="K26" s="85"/>
    </row>
    <row r="27" spans="1:11" ht="15" customHeight="1">
      <c r="A27" s="85"/>
      <c r="B27" s="18" t="s">
        <v>117</v>
      </c>
      <c r="C27" s="85"/>
      <c r="D27" s="45">
        <f>D11</f>
        <v>24440</v>
      </c>
      <c r="E27" s="85"/>
      <c r="F27" s="85"/>
      <c r="G27" s="85"/>
      <c r="H27" s="85"/>
      <c r="I27" s="85"/>
      <c r="J27" s="85"/>
      <c r="K27" s="85"/>
    </row>
    <row r="28" spans="1:11" ht="15" customHeight="1">
      <c r="A28" s="85"/>
      <c r="B28" s="51" t="s">
        <v>132</v>
      </c>
      <c r="C28" s="85"/>
      <c r="D28" s="52">
        <f>D26/D27</f>
        <v>124.1776359574541</v>
      </c>
      <c r="E28" s="85"/>
      <c r="F28" s="85"/>
      <c r="G28" s="85"/>
      <c r="H28" s="85"/>
      <c r="I28" s="85"/>
      <c r="J28" s="85"/>
      <c r="K28" s="85"/>
    </row>
    <row r="31" spans="1:11" ht="15" customHeight="1">
      <c r="A31" s="128" t="s">
        <v>133</v>
      </c>
      <c r="B31" s="109"/>
      <c r="C31" s="109"/>
      <c r="D31" s="109"/>
      <c r="E31" s="109"/>
      <c r="F31" s="109"/>
      <c r="G31" s="109"/>
      <c r="H31" s="109"/>
      <c r="I31" s="109"/>
      <c r="J31" s="109"/>
      <c r="K31" s="109"/>
    </row>
    <row r="32" spans="1:11" ht="15" customHeight="1">
      <c r="A32" s="129" t="s">
        <v>110</v>
      </c>
      <c r="B32" s="109"/>
      <c r="C32" s="109"/>
      <c r="D32" s="109"/>
      <c r="E32" s="109"/>
      <c r="F32" s="85"/>
      <c r="G32" s="85"/>
      <c r="H32" s="85"/>
      <c r="I32" s="85"/>
      <c r="J32" s="85"/>
      <c r="K32" s="85"/>
    </row>
    <row r="33" spans="1:11" ht="15" customHeight="1">
      <c r="A33" s="85"/>
      <c r="B33" s="39" t="s">
        <v>111</v>
      </c>
      <c r="C33" s="85"/>
      <c r="D33" s="40">
        <v>0.09</v>
      </c>
      <c r="E33" s="85"/>
      <c r="F33" s="85"/>
      <c r="G33" s="85"/>
      <c r="H33" s="85"/>
      <c r="I33" s="85"/>
      <c r="J33" s="85"/>
      <c r="K33" s="85"/>
    </row>
    <row r="34" spans="1:11" ht="15" customHeight="1">
      <c r="A34" s="85"/>
      <c r="B34" s="39" t="s">
        <v>112</v>
      </c>
      <c r="C34" s="85"/>
      <c r="D34" s="40">
        <v>0.03</v>
      </c>
      <c r="E34" s="85"/>
      <c r="F34" s="85"/>
      <c r="G34" s="85"/>
      <c r="H34" s="85"/>
      <c r="I34" s="85"/>
      <c r="J34" s="85"/>
      <c r="K34" s="85"/>
    </row>
    <row r="35" spans="1:11" ht="15" customHeight="1">
      <c r="A35" s="85"/>
      <c r="B35" s="39" t="s">
        <v>113</v>
      </c>
      <c r="C35" s="85"/>
      <c r="D35" s="40">
        <v>0.28000000000000003</v>
      </c>
      <c r="E35" s="85"/>
      <c r="F35" s="85"/>
      <c r="G35" s="85"/>
      <c r="H35" s="85"/>
      <c r="I35" s="85"/>
      <c r="J35" s="85"/>
      <c r="K35" s="85"/>
    </row>
    <row r="36" spans="1:11" ht="15" customHeight="1">
      <c r="A36" s="85"/>
      <c r="B36" s="39" t="s">
        <v>114</v>
      </c>
      <c r="C36" s="85"/>
      <c r="D36" s="40">
        <v>0.22</v>
      </c>
      <c r="E36" s="85"/>
      <c r="F36" s="85"/>
      <c r="G36" s="85"/>
      <c r="H36" s="85"/>
      <c r="I36" s="85"/>
      <c r="J36" s="85"/>
      <c r="K36" s="85"/>
    </row>
    <row r="37" spans="1:11" ht="15" customHeight="1">
      <c r="A37" s="85"/>
      <c r="B37" s="39" t="s">
        <v>115</v>
      </c>
      <c r="C37" s="85"/>
      <c r="D37" s="40">
        <v>0.18</v>
      </c>
      <c r="E37" s="85"/>
      <c r="F37" s="85"/>
      <c r="G37" s="85"/>
      <c r="H37" s="85"/>
      <c r="I37" s="85"/>
      <c r="J37" s="85"/>
      <c r="K37" s="85"/>
    </row>
    <row r="38" spans="1:11" ht="15" customHeight="1">
      <c r="A38" s="85"/>
      <c r="B38" s="39" t="s">
        <v>116</v>
      </c>
      <c r="C38" s="85"/>
      <c r="D38" s="40">
        <v>0.14000000000000001</v>
      </c>
      <c r="E38" s="85"/>
      <c r="F38" s="85"/>
      <c r="G38" s="85"/>
      <c r="H38" s="85"/>
      <c r="I38" s="85"/>
      <c r="J38" s="85"/>
      <c r="K38" s="85"/>
    </row>
    <row r="39" spans="1:11" ht="15" customHeight="1">
      <c r="A39" s="85"/>
      <c r="B39" s="39" t="s">
        <v>117</v>
      </c>
      <c r="C39" s="85"/>
      <c r="D39" s="41">
        <v>1617</v>
      </c>
      <c r="E39" s="85"/>
      <c r="F39" s="85"/>
      <c r="G39" s="85"/>
      <c r="H39" s="85"/>
      <c r="I39" s="85"/>
      <c r="J39" s="85"/>
      <c r="K39" s="85"/>
    </row>
    <row r="40" spans="1:11" ht="15" customHeight="1">
      <c r="A40" s="85"/>
      <c r="B40" s="39" t="s">
        <v>118</v>
      </c>
      <c r="C40" s="85"/>
      <c r="D40" s="41">
        <v>-3381</v>
      </c>
      <c r="E40" s="85"/>
      <c r="F40" s="85"/>
      <c r="G40" s="85"/>
      <c r="H40" s="85"/>
      <c r="I40" s="85"/>
      <c r="J40" s="85"/>
      <c r="K40" s="85"/>
    </row>
    <row r="42" spans="1:11" ht="15" customHeight="1">
      <c r="A42" s="133" t="s">
        <v>119</v>
      </c>
      <c r="B42" s="109"/>
      <c r="C42" s="109"/>
      <c r="D42" s="109"/>
      <c r="E42" s="109"/>
      <c r="F42" s="109"/>
      <c r="G42" s="109"/>
      <c r="H42" s="109"/>
      <c r="I42" s="109"/>
      <c r="J42" s="109"/>
      <c r="K42" s="109"/>
    </row>
    <row r="43" spans="1:11" ht="18" customHeight="1">
      <c r="A43" s="85"/>
      <c r="B43" s="5" t="s">
        <v>65</v>
      </c>
      <c r="C43" s="85"/>
      <c r="D43" s="33" t="s">
        <v>41</v>
      </c>
      <c r="E43" s="33" t="s">
        <v>120</v>
      </c>
      <c r="F43" s="33" t="s">
        <v>121</v>
      </c>
      <c r="G43" s="33" t="s">
        <v>122</v>
      </c>
      <c r="H43" s="33" t="s">
        <v>123</v>
      </c>
      <c r="I43" s="85"/>
      <c r="J43" s="85"/>
      <c r="K43" s="85"/>
    </row>
    <row r="44" spans="1:11" ht="15" customHeight="1">
      <c r="A44" s="85"/>
      <c r="B44" s="20" t="s">
        <v>42</v>
      </c>
      <c r="C44" s="85"/>
      <c r="D44" s="92">
        <v>38000</v>
      </c>
      <c r="E44" s="21">
        <f>D44*(1+D35)</f>
        <v>48640</v>
      </c>
      <c r="F44" s="21">
        <f>E44*(1+D36)</f>
        <v>59340.799999999996</v>
      </c>
      <c r="G44" s="21">
        <f>F44*(1+D37)</f>
        <v>70022.143999999986</v>
      </c>
      <c r="H44" s="21">
        <f>G44*1.15</f>
        <v>80525.465599999981</v>
      </c>
      <c r="I44" s="85"/>
      <c r="J44" s="85"/>
      <c r="K44" s="85"/>
    </row>
    <row r="45" spans="1:11" ht="15" customHeight="1">
      <c r="A45" s="85"/>
      <c r="B45" s="23" t="s">
        <v>74</v>
      </c>
      <c r="C45" s="85"/>
      <c r="D45" s="24">
        <f>D44*D38</f>
        <v>5320.0000000000009</v>
      </c>
      <c r="E45" s="24">
        <f>E44*D38</f>
        <v>6809.6</v>
      </c>
      <c r="F45" s="24">
        <f>F44*D38</f>
        <v>8307.7119999999995</v>
      </c>
      <c r="G45" s="24">
        <f>G44*D38</f>
        <v>9803.1001599999981</v>
      </c>
      <c r="H45" s="24">
        <f>H44*D38</f>
        <v>11273.565183999999</v>
      </c>
      <c r="I45" s="85"/>
      <c r="J45" s="85"/>
      <c r="K45" s="85"/>
    </row>
    <row r="46" spans="1:11" ht="15" customHeight="1">
      <c r="A46" s="85"/>
      <c r="B46" s="18" t="s">
        <v>124</v>
      </c>
      <c r="C46" s="85"/>
      <c r="D46" s="42">
        <f>1/(1+D33)^1</f>
        <v>0.9174311926605504</v>
      </c>
      <c r="E46" s="42">
        <f>1/(1+D33)^2</f>
        <v>0.84167999326655996</v>
      </c>
      <c r="F46" s="42">
        <f>1/(1+D33)^3</f>
        <v>0.77218348006106419</v>
      </c>
      <c r="G46" s="42">
        <f>1/(1+D33)^4</f>
        <v>0.7084252110651964</v>
      </c>
      <c r="H46" s="42">
        <f>1/(1+D33)^5</f>
        <v>0.64993138629834524</v>
      </c>
      <c r="I46" s="85"/>
      <c r="J46" s="85"/>
      <c r="K46" s="85"/>
    </row>
    <row r="47" spans="1:11" ht="15" customHeight="1">
      <c r="A47" s="85"/>
      <c r="B47" s="53" t="s">
        <v>125</v>
      </c>
      <c r="C47" s="85"/>
      <c r="D47" s="54">
        <f>D45*D46</f>
        <v>4880.7339449541287</v>
      </c>
      <c r="E47" s="54">
        <f>E45*E46</f>
        <v>5731.504082147967</v>
      </c>
      <c r="F47" s="54">
        <f>F45*F46</f>
        <v>6415.0779635050631</v>
      </c>
      <c r="G47" s="54">
        <f>G45*G46</f>
        <v>6944.763299941259</v>
      </c>
      <c r="H47" s="54">
        <f>H45*H46</f>
        <v>7327.0438485618788</v>
      </c>
      <c r="I47" s="85"/>
      <c r="J47" s="85"/>
      <c r="K47" s="85"/>
    </row>
    <row r="49" spans="2:4" ht="15" customHeight="1">
      <c r="B49" s="23" t="s">
        <v>126</v>
      </c>
      <c r="C49" s="85"/>
      <c r="D49" s="24">
        <f>SUM(D47:H47)</f>
        <v>31299.123139110299</v>
      </c>
    </row>
    <row r="50" spans="2:4" ht="15" customHeight="1">
      <c r="B50" s="18" t="s">
        <v>127</v>
      </c>
      <c r="C50" s="85"/>
      <c r="D50" s="45">
        <f>(H45*(1+D34))/(D33-D34)</f>
        <v>193529.53565866666</v>
      </c>
    </row>
    <row r="51" spans="2:4" ht="15" customHeight="1">
      <c r="B51" s="25" t="s">
        <v>128</v>
      </c>
      <c r="C51" s="85"/>
      <c r="D51" s="55">
        <f>D50/(1+D33)^5</f>
        <v>125780.91940031227</v>
      </c>
    </row>
    <row r="52" spans="2:4" ht="15" customHeight="1">
      <c r="B52" s="56" t="s">
        <v>129</v>
      </c>
      <c r="C52" s="85"/>
      <c r="D52" s="57">
        <f>D49+D51</f>
        <v>157080.04253942257</v>
      </c>
    </row>
    <row r="53" spans="2:4" ht="15" customHeight="1">
      <c r="B53" s="18" t="s">
        <v>130</v>
      </c>
      <c r="C53" s="85"/>
      <c r="D53" s="45">
        <f>D40</f>
        <v>-3381</v>
      </c>
    </row>
    <row r="54" spans="2:4" ht="15" customHeight="1">
      <c r="B54" s="58" t="s">
        <v>131</v>
      </c>
      <c r="C54" s="85"/>
      <c r="D54" s="59">
        <f>D52-D53</f>
        <v>160461.04253942257</v>
      </c>
    </row>
    <row r="55" spans="2:4" ht="15" customHeight="1">
      <c r="B55" s="18" t="s">
        <v>117</v>
      </c>
      <c r="C55" s="85"/>
      <c r="D55" s="45">
        <f>D39</f>
        <v>1617</v>
      </c>
    </row>
    <row r="56" spans="2:4" ht="15" customHeight="1">
      <c r="B56" s="60" t="s">
        <v>132</v>
      </c>
      <c r="C56" s="85"/>
      <c r="D56" s="61">
        <f>D54/D55</f>
        <v>99.233792541386876</v>
      </c>
    </row>
  </sheetData>
  <mergeCells count="7">
    <mergeCell ref="A1:K1"/>
    <mergeCell ref="A31:K31"/>
    <mergeCell ref="A4:E4"/>
    <mergeCell ref="A3:K3"/>
    <mergeCell ref="A42:K42"/>
    <mergeCell ref="A32:E32"/>
    <mergeCell ref="A14:K14"/>
  </mergeCells>
  <printOptions horizontalCentered="1" verticalCentered="1" headings="1" gridLines="1"/>
  <pageMargins left="0.75" right="0.75" top="1" bottom="1" header="0.511811023622047" footer="0.511811023622047"/>
  <pageSetup paperSize="3" fitToWidth="0"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1"/>
  <sheetViews>
    <sheetView showGridLines="0" zoomScaleNormal="100" workbookViewId="0">
      <selection activeCell="A2" sqref="A2"/>
    </sheetView>
  </sheetViews>
  <sheetFormatPr defaultColWidth="8.7109375" defaultRowHeight="15"/>
  <cols>
    <col min="1" max="1" width="3" style="1" customWidth="1"/>
    <col min="2" max="2" width="22" style="1" customWidth="1"/>
    <col min="3" max="3" width="16" style="1" customWidth="1"/>
    <col min="4" max="10" width="14" style="1" customWidth="1"/>
    <col min="11" max="11" width="3" style="1" customWidth="1"/>
  </cols>
  <sheetData>
    <row r="1" spans="1:10" ht="30" customHeight="1">
      <c r="A1" s="130" t="s">
        <v>134</v>
      </c>
      <c r="B1" s="109"/>
      <c r="C1" s="109"/>
      <c r="D1" s="109"/>
      <c r="E1" s="109"/>
      <c r="F1" s="109"/>
      <c r="G1" s="109"/>
      <c r="H1" s="109"/>
      <c r="I1" s="109"/>
      <c r="J1" s="109"/>
    </row>
    <row r="2" spans="1:10" ht="18" customHeight="1">
      <c r="A2" s="136" t="s">
        <v>135</v>
      </c>
      <c r="B2" s="109"/>
      <c r="C2" s="109"/>
      <c r="D2" s="109"/>
      <c r="E2" s="109"/>
      <c r="F2" s="109"/>
      <c r="G2" s="109"/>
      <c r="H2" s="109"/>
      <c r="I2" s="109"/>
      <c r="J2" s="109"/>
    </row>
    <row r="4" spans="1:10" ht="27.75" customHeight="1">
      <c r="A4" s="85"/>
      <c r="B4" s="62" t="s">
        <v>136</v>
      </c>
      <c r="C4" s="62" t="s">
        <v>137</v>
      </c>
      <c r="D4" s="62" t="s">
        <v>138</v>
      </c>
      <c r="E4" s="62" t="s">
        <v>139</v>
      </c>
      <c r="F4" s="62" t="s">
        <v>140</v>
      </c>
      <c r="G4" s="62" t="s">
        <v>141</v>
      </c>
      <c r="H4" s="62" t="s">
        <v>142</v>
      </c>
      <c r="I4" s="62" t="s">
        <v>143</v>
      </c>
      <c r="J4" s="62" t="s">
        <v>56</v>
      </c>
    </row>
    <row r="5" spans="1:10" ht="15" customHeight="1">
      <c r="A5" s="85"/>
      <c r="B5" s="51" t="s">
        <v>88</v>
      </c>
      <c r="C5" s="63" t="s">
        <v>94</v>
      </c>
      <c r="D5" s="63" t="s">
        <v>144</v>
      </c>
      <c r="E5" s="63" t="s">
        <v>145</v>
      </c>
      <c r="F5" s="63" t="s">
        <v>146</v>
      </c>
      <c r="G5" s="64">
        <v>21.6</v>
      </c>
      <c r="H5" s="64">
        <v>45.2</v>
      </c>
      <c r="I5" s="64">
        <v>52.3</v>
      </c>
      <c r="J5" s="63" t="s">
        <v>147</v>
      </c>
    </row>
    <row r="6" spans="1:10" ht="15" customHeight="1">
      <c r="A6" s="85"/>
      <c r="B6" s="60" t="s">
        <v>89</v>
      </c>
      <c r="C6" s="65" t="s">
        <v>89</v>
      </c>
      <c r="D6" s="65" t="s">
        <v>148</v>
      </c>
      <c r="E6" s="65" t="s">
        <v>149</v>
      </c>
      <c r="F6" s="65" t="s">
        <v>150</v>
      </c>
      <c r="G6" s="66">
        <v>6.7</v>
      </c>
      <c r="H6" s="66">
        <v>38.4</v>
      </c>
      <c r="I6" s="66">
        <v>48.7</v>
      </c>
      <c r="J6" s="65" t="s">
        <v>151</v>
      </c>
    </row>
    <row r="7" spans="1:10" ht="15" customHeight="1">
      <c r="A7" s="85"/>
      <c r="B7" s="36" t="s">
        <v>152</v>
      </c>
      <c r="C7" s="67" t="s">
        <v>153</v>
      </c>
      <c r="D7" s="67" t="s">
        <v>154</v>
      </c>
      <c r="E7" s="67" t="s">
        <v>155</v>
      </c>
      <c r="F7" s="67" t="s">
        <v>156</v>
      </c>
      <c r="G7" s="68">
        <v>2.2000000000000002</v>
      </c>
      <c r="H7" s="68">
        <v>12.4</v>
      </c>
      <c r="I7" s="68">
        <v>22.1</v>
      </c>
      <c r="J7" s="67" t="s">
        <v>157</v>
      </c>
    </row>
    <row r="8" spans="1:10" ht="15" customHeight="1">
      <c r="A8" s="85"/>
      <c r="B8" s="2" t="s">
        <v>158</v>
      </c>
      <c r="C8" s="69" t="s">
        <v>159</v>
      </c>
      <c r="D8" s="69" t="s">
        <v>160</v>
      </c>
      <c r="E8" s="69" t="s">
        <v>161</v>
      </c>
      <c r="F8" s="69" t="s">
        <v>162</v>
      </c>
      <c r="G8" s="70">
        <v>4.0999999999999996</v>
      </c>
      <c r="H8" s="70">
        <v>14.3</v>
      </c>
      <c r="I8" s="70">
        <v>15.2</v>
      </c>
      <c r="J8" s="69" t="s">
        <v>163</v>
      </c>
    </row>
    <row r="9" spans="1:10" ht="15" customHeight="1">
      <c r="A9" s="85"/>
      <c r="B9" s="36" t="s">
        <v>164</v>
      </c>
      <c r="C9" s="67" t="s">
        <v>165</v>
      </c>
      <c r="D9" s="67" t="s">
        <v>166</v>
      </c>
      <c r="E9" s="67" t="s">
        <v>167</v>
      </c>
      <c r="F9" s="67" t="s">
        <v>168</v>
      </c>
      <c r="G9" s="68">
        <v>15.9</v>
      </c>
      <c r="H9" s="68">
        <v>22.8</v>
      </c>
      <c r="I9" s="68">
        <v>28.4</v>
      </c>
      <c r="J9" s="67" t="s">
        <v>169</v>
      </c>
    </row>
    <row r="10" spans="1:10" ht="15" customHeight="1">
      <c r="A10" s="85"/>
      <c r="B10" s="2" t="s">
        <v>170</v>
      </c>
      <c r="C10" s="69" t="s">
        <v>171</v>
      </c>
      <c r="D10" s="69" t="s">
        <v>172</v>
      </c>
      <c r="E10" s="69" t="s">
        <v>173</v>
      </c>
      <c r="F10" s="69" t="s">
        <v>174</v>
      </c>
      <c r="G10" s="70">
        <v>10</v>
      </c>
      <c r="H10" s="70">
        <v>28.6</v>
      </c>
      <c r="I10" s="70">
        <v>38.1</v>
      </c>
      <c r="J10" s="69" t="s">
        <v>175</v>
      </c>
    </row>
    <row r="11" spans="1:10" ht="15" customHeight="1">
      <c r="A11" s="85"/>
      <c r="B11" s="36" t="s">
        <v>176</v>
      </c>
      <c r="C11" s="67" t="s">
        <v>177</v>
      </c>
      <c r="D11" s="67" t="s">
        <v>178</v>
      </c>
      <c r="E11" s="67" t="s">
        <v>155</v>
      </c>
      <c r="F11" s="67" t="s">
        <v>179</v>
      </c>
      <c r="G11" s="68">
        <v>4.5999999999999996</v>
      </c>
      <c r="H11" s="68">
        <v>7.8</v>
      </c>
      <c r="I11" s="68">
        <v>14.3</v>
      </c>
      <c r="J11" s="67" t="s">
        <v>180</v>
      </c>
    </row>
    <row r="13" spans="1:10" ht="15" customHeight="1">
      <c r="A13" s="125" t="s">
        <v>181</v>
      </c>
      <c r="B13" s="109"/>
      <c r="C13" s="109"/>
      <c r="D13" s="109"/>
      <c r="E13" s="109"/>
      <c r="F13" s="109"/>
      <c r="G13" s="109"/>
      <c r="H13" s="109"/>
      <c r="I13" s="109"/>
      <c r="J13" s="109"/>
    </row>
    <row r="14" spans="1:10" ht="15" customHeight="1">
      <c r="A14" s="85"/>
      <c r="B14" s="71" t="s">
        <v>182</v>
      </c>
      <c r="C14" s="85"/>
      <c r="D14" s="85"/>
      <c r="E14" s="85"/>
      <c r="F14" s="85"/>
      <c r="G14" s="72">
        <v>7.3</v>
      </c>
      <c r="H14" s="72">
        <v>18.55</v>
      </c>
      <c r="I14" s="72">
        <v>22.1</v>
      </c>
      <c r="J14" s="85"/>
    </row>
    <row r="16" spans="1:10" ht="15" customHeight="1">
      <c r="A16" s="125" t="s">
        <v>183</v>
      </c>
      <c r="B16" s="109"/>
      <c r="C16" s="109"/>
      <c r="D16" s="109"/>
      <c r="E16" s="109"/>
      <c r="F16" s="109"/>
      <c r="G16" s="109"/>
      <c r="H16" s="109"/>
      <c r="I16" s="109"/>
      <c r="J16" s="109"/>
    </row>
    <row r="17" spans="2:10" ht="15" customHeight="1">
      <c r="B17" s="135" t="s">
        <v>184</v>
      </c>
      <c r="C17" s="109"/>
      <c r="D17" s="109"/>
      <c r="E17" s="109"/>
      <c r="F17" s="134" t="s">
        <v>185</v>
      </c>
      <c r="G17" s="109"/>
      <c r="H17" s="109"/>
      <c r="I17" s="109"/>
      <c r="J17" s="109"/>
    </row>
    <row r="18" spans="2:10" ht="15" customHeight="1">
      <c r="B18" s="18" t="s">
        <v>186</v>
      </c>
      <c r="C18" s="18" t="s">
        <v>187</v>
      </c>
      <c r="D18" s="18" t="s">
        <v>188</v>
      </c>
      <c r="E18" s="18" t="s">
        <v>189</v>
      </c>
      <c r="F18" s="18" t="s">
        <v>186</v>
      </c>
      <c r="G18" s="18" t="s">
        <v>187</v>
      </c>
      <c r="H18" s="18" t="s">
        <v>188</v>
      </c>
      <c r="I18" s="18" t="s">
        <v>189</v>
      </c>
      <c r="J18" s="85"/>
    </row>
    <row r="19" spans="2:10" ht="15" customHeight="1">
      <c r="B19" s="73" t="s">
        <v>141</v>
      </c>
      <c r="C19" s="73" t="s">
        <v>190</v>
      </c>
      <c r="D19" s="73" t="s">
        <v>191</v>
      </c>
      <c r="E19" s="73" t="s">
        <v>192</v>
      </c>
      <c r="F19" s="73" t="s">
        <v>141</v>
      </c>
      <c r="G19" s="73" t="s">
        <v>193</v>
      </c>
      <c r="H19" s="73" t="s">
        <v>194</v>
      </c>
      <c r="I19" s="73" t="s">
        <v>195</v>
      </c>
      <c r="J19" s="85"/>
    </row>
    <row r="20" spans="2:10" ht="15" customHeight="1">
      <c r="B20" s="74" t="s">
        <v>142</v>
      </c>
      <c r="C20" s="74" t="s">
        <v>196</v>
      </c>
      <c r="D20" s="74" t="s">
        <v>197</v>
      </c>
      <c r="E20" s="74" t="s">
        <v>198</v>
      </c>
      <c r="F20" s="74" t="s">
        <v>142</v>
      </c>
      <c r="G20" s="74" t="s">
        <v>199</v>
      </c>
      <c r="H20" s="74" t="s">
        <v>200</v>
      </c>
      <c r="I20" s="74" t="s">
        <v>201</v>
      </c>
      <c r="J20" s="85"/>
    </row>
    <row r="21" spans="2:10" ht="15" customHeight="1">
      <c r="B21" s="73" t="s">
        <v>143</v>
      </c>
      <c r="C21" s="73" t="s">
        <v>202</v>
      </c>
      <c r="D21" s="73" t="s">
        <v>203</v>
      </c>
      <c r="E21" s="73" t="s">
        <v>195</v>
      </c>
      <c r="F21" s="73" t="s">
        <v>143</v>
      </c>
      <c r="G21" s="73" t="s">
        <v>204</v>
      </c>
      <c r="H21" s="73" t="s">
        <v>203</v>
      </c>
      <c r="I21" s="73" t="s">
        <v>205</v>
      </c>
      <c r="J21" s="85"/>
    </row>
  </sheetData>
  <mergeCells count="6">
    <mergeCell ref="F17:J17"/>
    <mergeCell ref="A1:J1"/>
    <mergeCell ref="B17:E17"/>
    <mergeCell ref="A2:J2"/>
    <mergeCell ref="A16:J16"/>
    <mergeCell ref="A13:J13"/>
  </mergeCells>
  <printOptions horizontalCentered="1" verticalCentered="1" headings="1" gridLines="1"/>
  <pageMargins left="0.75" right="0.75" top="1" bottom="1" header="0.511811023622047" footer="0.511811023622047"/>
  <pageSetup paperSize="8" fitToWidth="0"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showGridLines="0" tabSelected="1" zoomScaleNormal="100" workbookViewId="0">
      <selection activeCell="E1" sqref="E1:E1048576"/>
    </sheetView>
  </sheetViews>
  <sheetFormatPr defaultColWidth="8.7109375" defaultRowHeight="15"/>
  <cols>
    <col min="1" max="1" width="3" style="1" customWidth="1"/>
    <col min="2" max="2" width="35.140625" style="1" customWidth="1"/>
    <col min="3" max="3" width="35" style="1" customWidth="1"/>
    <col min="4" max="4" width="38.5703125" style="1" customWidth="1"/>
    <col min="5" max="5" width="53.5703125" style="1" customWidth="1"/>
  </cols>
  <sheetData>
    <row r="1" spans="1:5" ht="31.5" customHeight="1">
      <c r="A1" s="130" t="s">
        <v>206</v>
      </c>
      <c r="B1" s="109"/>
      <c r="C1" s="109"/>
      <c r="D1" s="109"/>
      <c r="E1" s="109"/>
    </row>
    <row r="3" spans="1:5" ht="27.75" customHeight="1">
      <c r="A3" s="85"/>
      <c r="B3" s="75" t="s">
        <v>207</v>
      </c>
      <c r="C3" s="85"/>
      <c r="D3" s="76" t="s">
        <v>208</v>
      </c>
      <c r="E3" s="85"/>
    </row>
    <row r="4" spans="1:5" ht="18" customHeight="1">
      <c r="A4" s="85"/>
      <c r="B4" s="77" t="s">
        <v>209</v>
      </c>
      <c r="C4" s="85"/>
      <c r="D4" s="78" t="s">
        <v>210</v>
      </c>
      <c r="E4" s="85"/>
    </row>
    <row r="5" spans="1:5" ht="18" customHeight="1">
      <c r="A5" s="85"/>
      <c r="B5" s="79" t="s">
        <v>211</v>
      </c>
      <c r="C5" s="85"/>
      <c r="D5" s="79" t="s">
        <v>212</v>
      </c>
      <c r="E5" s="85"/>
    </row>
    <row r="6" spans="1:5" ht="18" customHeight="1">
      <c r="A6" s="85"/>
      <c r="B6" s="77" t="s">
        <v>213</v>
      </c>
      <c r="C6" s="85"/>
      <c r="D6" s="78" t="s">
        <v>214</v>
      </c>
      <c r="E6" s="85"/>
    </row>
    <row r="7" spans="1:5" ht="18" customHeight="1">
      <c r="A7" s="85"/>
      <c r="B7" s="79" t="s">
        <v>215</v>
      </c>
      <c r="C7" s="85"/>
      <c r="D7" s="79" t="s">
        <v>216</v>
      </c>
      <c r="E7" s="85"/>
    </row>
    <row r="8" spans="1:5" ht="18" customHeight="1">
      <c r="A8" s="85"/>
      <c r="B8" s="77" t="s">
        <v>217</v>
      </c>
      <c r="C8" s="85"/>
      <c r="D8" s="78" t="s">
        <v>218</v>
      </c>
      <c r="E8" s="85"/>
    </row>
    <row r="9" spans="1:5" ht="18" customHeight="1">
      <c r="A9" s="85"/>
      <c r="B9" s="79" t="s">
        <v>219</v>
      </c>
      <c r="C9" s="85"/>
      <c r="D9" s="79" t="s">
        <v>220</v>
      </c>
      <c r="E9" s="85"/>
    </row>
    <row r="10" spans="1:5" ht="18" customHeight="1">
      <c r="A10" s="85"/>
      <c r="B10" s="77" t="s">
        <v>221</v>
      </c>
      <c r="C10" s="85"/>
      <c r="D10" s="78" t="s">
        <v>222</v>
      </c>
      <c r="E10" s="85"/>
    </row>
    <row r="11" spans="1:5" ht="18" customHeight="1">
      <c r="A11" s="85"/>
      <c r="B11" s="79" t="s">
        <v>223</v>
      </c>
      <c r="C11" s="85"/>
      <c r="D11" s="79" t="s">
        <v>223</v>
      </c>
      <c r="E11" s="85"/>
    </row>
    <row r="12" spans="1:5" ht="18" customHeight="1">
      <c r="A12" s="85"/>
      <c r="B12" s="77" t="s">
        <v>224</v>
      </c>
      <c r="C12" s="85"/>
      <c r="D12" s="78" t="s">
        <v>225</v>
      </c>
      <c r="E12" s="85"/>
    </row>
    <row r="13" spans="1:5" ht="18" customHeight="1">
      <c r="A13" s="85"/>
      <c r="B13" s="80" t="s">
        <v>226</v>
      </c>
      <c r="C13" s="85"/>
      <c r="D13" s="80" t="s">
        <v>227</v>
      </c>
      <c r="E13" s="85"/>
    </row>
    <row r="15" spans="1:5" ht="15" customHeight="1">
      <c r="A15" s="120" t="s">
        <v>228</v>
      </c>
      <c r="B15" s="109"/>
      <c r="C15" s="109"/>
      <c r="D15" s="109"/>
      <c r="E15" s="109"/>
    </row>
    <row r="16" spans="1:5" ht="21.75" customHeight="1">
      <c r="A16" s="85"/>
      <c r="B16" s="81" t="s">
        <v>229</v>
      </c>
      <c r="C16" s="82" t="s">
        <v>230</v>
      </c>
      <c r="D16" s="83" t="s">
        <v>231</v>
      </c>
      <c r="E16" s="85"/>
    </row>
    <row r="17" spans="1:5" ht="21.75" customHeight="1">
      <c r="A17" s="85"/>
      <c r="B17" s="84" t="s">
        <v>232</v>
      </c>
      <c r="C17" s="82" t="s">
        <v>233</v>
      </c>
      <c r="D17" s="83" t="s">
        <v>234</v>
      </c>
      <c r="E17" s="85"/>
    </row>
    <row r="18" spans="1:5" ht="21.75" customHeight="1">
      <c r="A18" s="85"/>
      <c r="B18" s="81" t="s">
        <v>235</v>
      </c>
      <c r="C18" s="82" t="s">
        <v>236</v>
      </c>
      <c r="D18" s="83" t="s">
        <v>237</v>
      </c>
      <c r="E18" s="85"/>
    </row>
    <row r="19" spans="1:5" ht="21.75" customHeight="1">
      <c r="A19" s="85"/>
      <c r="B19" s="84" t="s">
        <v>238</v>
      </c>
      <c r="C19" s="82" t="s">
        <v>239</v>
      </c>
      <c r="D19" s="83" t="s">
        <v>240</v>
      </c>
      <c r="E19" s="85"/>
    </row>
    <row r="20" spans="1:5" ht="21.75" customHeight="1">
      <c r="A20" s="85"/>
      <c r="B20" s="81" t="s">
        <v>241</v>
      </c>
      <c r="C20" s="82" t="s">
        <v>242</v>
      </c>
      <c r="D20" s="83" t="s">
        <v>243</v>
      </c>
      <c r="E20" s="85"/>
    </row>
    <row r="21" spans="1:5" ht="21.75" customHeight="1">
      <c r="A21" s="85"/>
      <c r="B21" s="84" t="s">
        <v>244</v>
      </c>
      <c r="C21" s="82" t="s">
        <v>245</v>
      </c>
      <c r="D21" s="83" t="s">
        <v>246</v>
      </c>
      <c r="E21" s="85"/>
    </row>
    <row r="22" spans="1:5" ht="21.75" customHeight="1">
      <c r="A22" s="85"/>
      <c r="B22" s="81" t="s">
        <v>247</v>
      </c>
      <c r="C22" s="82" t="s">
        <v>248</v>
      </c>
      <c r="D22" s="83" t="s">
        <v>249</v>
      </c>
      <c r="E22" s="85"/>
    </row>
    <row r="24" spans="1:5" ht="81" customHeight="1">
      <c r="A24" s="137" t="s">
        <v>250</v>
      </c>
      <c r="B24" s="138"/>
      <c r="C24" s="138"/>
      <c r="D24" s="138"/>
      <c r="E24" s="138"/>
    </row>
  </sheetData>
  <mergeCells count="3">
    <mergeCell ref="A15:E15"/>
    <mergeCell ref="A1:E1"/>
    <mergeCell ref="A24:E24"/>
  </mergeCells>
  <printOptions horizontalCentered="1" verticalCentered="1" headings="1" gridLines="1"/>
  <pageMargins left="0.75" right="0.75" top="1" bottom="1" header="0.511811023622047" footer="0.511811023622047"/>
  <pageSetup paperSize="8" fitToWidth="0"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2026-03-08T11:06:14Z</dcterms:created>
  <dcterms:modified xsi:type="dcterms:W3CDTF">2026-03-08T12:29:49Z</dcterms:modified>
  <cp:category/>
  <cp:contentStatus/>
</cp:coreProperties>
</file>